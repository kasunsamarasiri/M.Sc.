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9.xml" ContentType="application/vnd.openxmlformats-officedocument.drawingml.chart+xml"/>
  <Override PartName="/xl/drawings/drawing14.xml" ContentType="application/vnd.openxmlformats-officedocument.drawingml.chartshapes+xml"/>
  <Override PartName="/xl/charts/chart10.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harts/chart11.xml" ContentType="application/vnd.openxmlformats-officedocument.drawingml.chart+xml"/>
  <Override PartName="/xl/drawings/drawing17.xml" ContentType="application/vnd.openxmlformats-officedocument.drawingml.chartshapes+xml"/>
  <Override PartName="/xl/charts/chart12.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13.xml" ContentType="application/vnd.openxmlformats-officedocument.drawingml.chart+xml"/>
  <Override PartName="/xl/drawings/drawing20.xml" ContentType="application/vnd.openxmlformats-officedocument.drawingml.chartshapes+xml"/>
  <Override PartName="/xl/charts/chart14.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charts/chart15.xml" ContentType="application/vnd.openxmlformats-officedocument.drawingml.chart+xml"/>
  <Override PartName="/xl/drawings/drawing23.xml" ContentType="application/vnd.openxmlformats-officedocument.drawingml.chartshapes+xml"/>
  <Override PartName="/xl/charts/chart16.xml" ContentType="application/vnd.openxmlformats-officedocument.drawingml.chart+xml"/>
  <Override PartName="/xl/drawings/drawing2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030" codeName="{1563B04E-AB91-75FE-B8BC-B18F01832D57}"/>
  <workbookPr codeName="ThisWorkbook"/>
  <mc:AlternateContent xmlns:mc="http://schemas.openxmlformats.org/markup-compatibility/2006">
    <mc:Choice Requires="x15">
      <x15ac:absPath xmlns:x15ac="http://schemas.microsoft.com/office/spreadsheetml/2010/11/ac" url="C:\Users\Samare\Dropbox\M.Sc\Life Cycle Analysis\final\"/>
    </mc:Choice>
  </mc:AlternateContent>
  <bookViews>
    <workbookView xWindow="0" yWindow="0" windowWidth="20490" windowHeight="7530" tabRatio="748" activeTab="5"/>
  </bookViews>
  <sheets>
    <sheet name="Instructions" sheetId="1" r:id="rId1"/>
    <sheet name="Calculator" sheetId="2" r:id="rId2"/>
    <sheet name="CFST Modified" sheetId="13" r:id="rId3"/>
    <sheet name="Country" sheetId="14" r:id="rId4"/>
    <sheet name="CFST" sheetId="9" r:id="rId5"/>
    <sheet name="ResponseSurfaceVSRT" sheetId="3" r:id="rId6"/>
    <sheet name="ResponseSurfaceTempRT" sheetId="4" r:id="rId7"/>
    <sheet name="Temp&amp;RT" sheetId="5" r:id="rId8"/>
    <sheet name="VS&amp;RT" sheetId="6" r:id="rId9"/>
    <sheet name="Temp&amp;VS" sheetId="7" r:id="rId10"/>
    <sheet name="RT&amp;Temp" sheetId="8" r:id="rId11"/>
    <sheet name="PlugFlow" sheetId="10" r:id="rId12"/>
    <sheet name="Costing (Temp &amp; RT)" sheetId="11" r:id="rId13"/>
    <sheet name="Energy Costs" sheetId="12" r:id="rId14"/>
  </sheets>
  <definedNames>
    <definedName name="HTML_CodePage" hidden="1">1252</definedName>
    <definedName name="HTML_Control" localSheetId="6" hidden="1">{"'Instructions'!$A$1:$A$3","'Temp&amp;RT'!$A$1:$I$61","'VS&amp;RT'!$A$1:$I$62","'Temp&amp;VS'!$A$1:$I$62","'RT&amp;Temp'!$A$1:$I$62","'Digester'!$A$1:$E$42"}</definedName>
    <definedName name="HTML_Control" localSheetId="5" hidden="1">{"'Instructions'!$A$1:$A$3","'Temp&amp;RT'!$A$1:$I$61","'VS&amp;RT'!$A$1:$I$62","'Temp&amp;VS'!$A$1:$I$62","'RT&amp;Temp'!$A$1:$I$62","'Digester'!$A$1:$E$42"}</definedName>
    <definedName name="HTML_Control" hidden="1">{"'Instructions'!$A$1:$A$3","'Temp&amp;RT'!$A$1:$I$61","'VS&amp;RT'!$A$1:$I$62","'Temp&amp;VS'!$A$1:$I$62","'RT&amp;Temp'!$A$1:$I$62","'Digester'!$A$1:$E$42"}</definedName>
    <definedName name="HTML_Description" hidden="1">""</definedName>
    <definedName name="HTML_Email" hidden="1">"pharris@roseworthy.adelaide.edu.au"</definedName>
    <definedName name="HTML_Header" hidden="1">"Digester"</definedName>
    <definedName name="HTML_LastUpdate" hidden="1">"10/2/97"</definedName>
    <definedName name="HTML_LineAfter" hidden="1">TRUE</definedName>
    <definedName name="HTML_LineBefore" hidden="1">TRUE</definedName>
    <definedName name="HTML_Name" hidden="1">"Paul Harris"</definedName>
    <definedName name="HTML_OBDlg2" hidden="1">TRUE</definedName>
    <definedName name="HTML_OBDlg4" hidden="1">TRUE</definedName>
    <definedName name="HTML_OS" hidden="1">0</definedName>
    <definedName name="HTML_PathFile" hidden="1">"C:\Docs\Methane\chenmod.htm"</definedName>
    <definedName name="HTML_Title" hidden="1">"chenm97"</definedName>
    <definedName name="_xlnm.Print_Area" localSheetId="1">Calculator!$A$1:$C$48</definedName>
    <definedName name="_xlnm.Print_Area" localSheetId="4">CFST!$A$1:$D$42</definedName>
    <definedName name="_xlnm.Print_Area" localSheetId="2">'CFST Modified'!$A$1:$D$45</definedName>
  </definedNames>
  <calcPr calcId="162913"/>
</workbook>
</file>

<file path=xl/calcChain.xml><?xml version="1.0" encoding="utf-8"?>
<calcChain xmlns="http://schemas.openxmlformats.org/spreadsheetml/2006/main">
  <c r="F28" i="14" l="1"/>
  <c r="C30" i="14"/>
  <c r="B13" i="2" l="1"/>
  <c r="U34" i="2" l="1"/>
  <c r="N12" i="2"/>
  <c r="J13" i="2" l="1"/>
  <c r="I13" i="2"/>
  <c r="B20" i="2" l="1"/>
  <c r="P37" i="13" l="1"/>
  <c r="H40" i="13"/>
  <c r="J40" i="13"/>
  <c r="P41" i="13"/>
  <c r="J58" i="13"/>
  <c r="H56" i="13"/>
  <c r="J56" i="13" s="1"/>
  <c r="J50" i="13"/>
  <c r="P50" i="13"/>
  <c r="P61" i="13" s="1"/>
  <c r="P39" i="13"/>
  <c r="B26" i="13"/>
  <c r="E4" i="13" l="1"/>
  <c r="B38" i="2"/>
  <c r="I34" i="2"/>
  <c r="B11" i="2" l="1"/>
  <c r="B12" i="2" s="1"/>
  <c r="F17" i="2" l="1"/>
  <c r="B21" i="2"/>
  <c r="H34" i="2" s="1"/>
  <c r="O34" i="2" s="1"/>
  <c r="B14" i="2" l="1"/>
  <c r="Q34" i="2" s="1"/>
  <c r="B15" i="2"/>
  <c r="B17" i="2" s="1"/>
  <c r="H57" i="13"/>
  <c r="J57" i="13" s="1"/>
  <c r="J59" i="13" s="1"/>
  <c r="P62" i="13" s="1"/>
  <c r="P42" i="13"/>
  <c r="P43" i="13" s="1"/>
  <c r="P60" i="13" s="1"/>
  <c r="B42" i="2"/>
  <c r="B44" i="2"/>
  <c r="C7" i="12"/>
  <c r="A8" i="12"/>
  <c r="C34" i="5"/>
  <c r="E34" i="5" s="1"/>
  <c r="D37" i="9"/>
  <c r="F6" i="11"/>
  <c r="G6" i="11"/>
  <c r="H6" i="11"/>
  <c r="B15" i="10"/>
  <c r="B18" i="10"/>
  <c r="B17" i="10" s="1"/>
  <c r="B21" i="10"/>
  <c r="B23" i="10"/>
  <c r="E4" i="9"/>
  <c r="G25" i="8"/>
  <c r="H25" i="5"/>
  <c r="H25" i="8" s="1"/>
  <c r="G25" i="7"/>
  <c r="G25" i="6"/>
  <c r="J34" i="4"/>
  <c r="B53" i="4"/>
  <c r="J34" i="3"/>
  <c r="J53" i="3"/>
  <c r="B4" i="2"/>
  <c r="O22" i="2"/>
  <c r="P22" i="2"/>
  <c r="O23" i="2"/>
  <c r="P23" i="2"/>
  <c r="O24" i="2"/>
  <c r="P24" i="2"/>
  <c r="O25" i="2"/>
  <c r="P25" i="2"/>
  <c r="O26" i="2"/>
  <c r="P26" i="2"/>
  <c r="O27" i="2"/>
  <c r="P27" i="2"/>
  <c r="O28" i="2"/>
  <c r="P28" i="2"/>
  <c r="O29" i="2"/>
  <c r="P29" i="2"/>
  <c r="O30" i="2"/>
  <c r="P30" i="2"/>
  <c r="O31" i="2"/>
  <c r="P31" i="2"/>
  <c r="O32" i="2"/>
  <c r="P32" i="2"/>
  <c r="I33" i="2"/>
  <c r="K33" i="2"/>
  <c r="L33" i="2"/>
  <c r="M33" i="2"/>
  <c r="C35" i="5" l="1"/>
  <c r="C36" i="5" s="1"/>
  <c r="E36" i="5" s="1"/>
  <c r="C33" i="5"/>
  <c r="C42" i="5" s="1"/>
  <c r="C34" i="7"/>
  <c r="E34" i="7" s="1"/>
  <c r="A13" i="11"/>
  <c r="C43" i="5"/>
  <c r="C3" i="3"/>
  <c r="B45" i="2"/>
  <c r="B7" i="10" s="1"/>
  <c r="H25" i="6"/>
  <c r="H25" i="7"/>
  <c r="A15" i="11"/>
  <c r="C36" i="7"/>
  <c r="E36" i="7" s="1"/>
  <c r="C37" i="5"/>
  <c r="J33" i="2"/>
  <c r="P33" i="2" s="1"/>
  <c r="O33" i="2"/>
  <c r="C52" i="5"/>
  <c r="C44" i="5"/>
  <c r="E35" i="5"/>
  <c r="A12" i="11"/>
  <c r="E43" i="5"/>
  <c r="B43" i="2"/>
  <c r="C45" i="5" l="1"/>
  <c r="C54" i="5" s="1"/>
  <c r="A14" i="11"/>
  <c r="C35" i="7"/>
  <c r="E35" i="7" s="1"/>
  <c r="C32" i="5"/>
  <c r="E33" i="5"/>
  <c r="C33" i="7"/>
  <c r="E33" i="7" s="1"/>
  <c r="C43" i="7"/>
  <c r="E43" i="7" s="1"/>
  <c r="A22" i="11"/>
  <c r="G41" i="4"/>
  <c r="G53" i="4" s="1"/>
  <c r="F3" i="6"/>
  <c r="F3" i="5"/>
  <c r="F3" i="7"/>
  <c r="F3" i="8"/>
  <c r="D34" i="8" s="1"/>
  <c r="D33" i="8" s="1"/>
  <c r="D32" i="8" s="1"/>
  <c r="A23" i="11"/>
  <c r="E44" i="5"/>
  <c r="C53" i="5"/>
  <c r="H41" i="4"/>
  <c r="H53" i="4" s="1"/>
  <c r="C44" i="7"/>
  <c r="E44" i="7" s="1"/>
  <c r="A21" i="11"/>
  <c r="C51" i="5"/>
  <c r="E42" i="5"/>
  <c r="F41" i="4"/>
  <c r="F53" i="4" s="1"/>
  <c r="C42" i="7"/>
  <c r="E42" i="7" s="1"/>
  <c r="A31" i="11"/>
  <c r="C52" i="7"/>
  <c r="E52" i="7" s="1"/>
  <c r="E52" i="5"/>
  <c r="C37" i="7"/>
  <c r="E37" i="7" s="1"/>
  <c r="A16" i="11"/>
  <c r="C46" i="5"/>
  <c r="C38" i="5"/>
  <c r="E37" i="5"/>
  <c r="E45" i="5"/>
  <c r="I41" i="4"/>
  <c r="I53" i="4" s="1"/>
  <c r="A24" i="11"/>
  <c r="B46" i="2"/>
  <c r="B3" i="10"/>
  <c r="B14" i="10" s="1"/>
  <c r="C45" i="7" l="1"/>
  <c r="E45" i="7" s="1"/>
  <c r="B5" i="9"/>
  <c r="B5" i="13"/>
  <c r="C31" i="5"/>
  <c r="E32" i="5"/>
  <c r="A11" i="11"/>
  <c r="C41" i="5"/>
  <c r="C32" i="7"/>
  <c r="E32" i="7" s="1"/>
  <c r="D39" i="5"/>
  <c r="D40" i="5" s="1"/>
  <c r="B19" i="11" s="1"/>
  <c r="D42" i="8"/>
  <c r="D35" i="8"/>
  <c r="D36" i="8" s="1"/>
  <c r="D45" i="8" s="1"/>
  <c r="D43" i="8"/>
  <c r="D30" i="7"/>
  <c r="B32" i="13" s="1"/>
  <c r="D39" i="6"/>
  <c r="D40" i="6" s="1"/>
  <c r="D41" i="6" s="1"/>
  <c r="D42" i="6" s="1"/>
  <c r="D43" i="6" s="1"/>
  <c r="D44" i="6" s="1"/>
  <c r="D45" i="6" s="1"/>
  <c r="D46" i="6" s="1"/>
  <c r="D47" i="6" s="1"/>
  <c r="E53" i="5"/>
  <c r="A32" i="11"/>
  <c r="C53" i="7"/>
  <c r="E53" i="7" s="1"/>
  <c r="A33" i="11"/>
  <c r="C54" i="7"/>
  <c r="E54" i="7" s="1"/>
  <c r="E54" i="5"/>
  <c r="C55" i="5"/>
  <c r="C46" i="7"/>
  <c r="E46" i="7" s="1"/>
  <c r="J41" i="4"/>
  <c r="J53" i="4" s="1"/>
  <c r="A25" i="11"/>
  <c r="E46" i="5"/>
  <c r="A17" i="11"/>
  <c r="C47" i="5"/>
  <c r="E38" i="5"/>
  <c r="C38" i="7"/>
  <c r="E38" i="7" s="1"/>
  <c r="C51" i="7"/>
  <c r="E51" i="7" s="1"/>
  <c r="A30" i="11"/>
  <c r="E51" i="5"/>
  <c r="D41" i="8"/>
  <c r="D31" i="8"/>
  <c r="D51" i="8"/>
  <c r="B45" i="3"/>
  <c r="B45" i="4"/>
  <c r="B16" i="10"/>
  <c r="D5" i="9"/>
  <c r="A10" i="9"/>
  <c r="D41" i="5" l="1"/>
  <c r="D42" i="5" s="1"/>
  <c r="B18" i="11"/>
  <c r="D5" i="13"/>
  <c r="A10" i="13"/>
  <c r="D37" i="8"/>
  <c r="D38" i="8" s="1"/>
  <c r="E41" i="5"/>
  <c r="E41" i="4"/>
  <c r="E53" i="4" s="1"/>
  <c r="C41" i="7"/>
  <c r="E41" i="7" s="1"/>
  <c r="A20" i="11"/>
  <c r="C50" i="5"/>
  <c r="C31" i="7"/>
  <c r="E31" i="7" s="1"/>
  <c r="C40" i="5"/>
  <c r="E31" i="5"/>
  <c r="A10" i="11"/>
  <c r="C30" i="5"/>
  <c r="D44" i="8"/>
  <c r="B46" i="4"/>
  <c r="B46" i="3"/>
  <c r="D52" i="8"/>
  <c r="D31" i="7"/>
  <c r="B29" i="9"/>
  <c r="D4" i="9" s="1"/>
  <c r="C55" i="7"/>
  <c r="E55" i="7" s="1"/>
  <c r="A34" i="11"/>
  <c r="E55" i="5"/>
  <c r="C47" i="7"/>
  <c r="E47" i="7" s="1"/>
  <c r="E47" i="5"/>
  <c r="A26" i="11"/>
  <c r="C56" i="5"/>
  <c r="K41" i="4"/>
  <c r="K53" i="4" s="1"/>
  <c r="R45" i="3"/>
  <c r="J57" i="3"/>
  <c r="D40" i="8"/>
  <c r="D30" i="8"/>
  <c r="B20" i="11"/>
  <c r="D46" i="8"/>
  <c r="B57" i="4"/>
  <c r="B44" i="3"/>
  <c r="B44" i="4"/>
  <c r="D50" i="8"/>
  <c r="D54" i="8"/>
  <c r="B48" i="4"/>
  <c r="B48" i="3"/>
  <c r="D8" i="9"/>
  <c r="D7" i="9"/>
  <c r="D35" i="9"/>
  <c r="B9" i="10"/>
  <c r="B22" i="10"/>
  <c r="B24" i="10"/>
  <c r="B28" i="10" s="1"/>
  <c r="B19" i="10"/>
  <c r="B20" i="10" s="1"/>
  <c r="B25" i="10"/>
  <c r="B26" i="10" s="1"/>
  <c r="E3" i="10"/>
  <c r="D8" i="13" l="1"/>
  <c r="J37" i="13"/>
  <c r="D38" i="13"/>
  <c r="D7" i="13"/>
  <c r="D4" i="13"/>
  <c r="A9" i="11"/>
  <c r="C30" i="7"/>
  <c r="E30" i="7" s="1"/>
  <c r="C30" i="6"/>
  <c r="B22" i="9" s="1"/>
  <c r="E30" i="5"/>
  <c r="C30" i="8"/>
  <c r="C39" i="5"/>
  <c r="D41" i="4"/>
  <c r="C40" i="7"/>
  <c r="E40" i="7" s="1"/>
  <c r="A19" i="11"/>
  <c r="E40" i="5"/>
  <c r="C49" i="5"/>
  <c r="E50" i="5"/>
  <c r="C50" i="7"/>
  <c r="E50" i="7" s="1"/>
  <c r="A29" i="11"/>
  <c r="B47" i="4"/>
  <c r="D53" i="8"/>
  <c r="B47" i="3"/>
  <c r="R46" i="3"/>
  <c r="J58" i="3"/>
  <c r="D32" i="7"/>
  <c r="B58" i="4"/>
  <c r="D9" i="9"/>
  <c r="D20" i="11" s="1"/>
  <c r="A35" i="11"/>
  <c r="C48" i="8"/>
  <c r="C56" i="7"/>
  <c r="E56" i="7" s="1"/>
  <c r="E56" i="5"/>
  <c r="R48" i="3"/>
  <c r="J60" i="3"/>
  <c r="B56" i="4"/>
  <c r="D44" i="4"/>
  <c r="B49" i="4"/>
  <c r="D55" i="8"/>
  <c r="B49" i="3"/>
  <c r="D39" i="8"/>
  <c r="D30" i="6"/>
  <c r="D31" i="6" s="1"/>
  <c r="D32" i="6" s="1"/>
  <c r="D33" i="6" s="1"/>
  <c r="D34" i="6" s="1"/>
  <c r="D30" i="5"/>
  <c r="B60" i="4"/>
  <c r="J56" i="3"/>
  <c r="R44" i="3"/>
  <c r="D48" i="5"/>
  <c r="D48" i="6"/>
  <c r="D49" i="6" s="1"/>
  <c r="D50" i="6" s="1"/>
  <c r="D51" i="6" s="1"/>
  <c r="D52" i="6" s="1"/>
  <c r="D53" i="6" s="1"/>
  <c r="D54" i="6" s="1"/>
  <c r="D55" i="6" s="1"/>
  <c r="D56" i="6" s="1"/>
  <c r="D47" i="8"/>
  <c r="D43" i="5"/>
  <c r="B21" i="11"/>
  <c r="F21" i="11" s="1"/>
  <c r="B43" i="3"/>
  <c r="B43" i="4"/>
  <c r="D49" i="8"/>
  <c r="B38" i="9"/>
  <c r="D38" i="9" s="1"/>
  <c r="B4" i="11"/>
  <c r="F18" i="11"/>
  <c r="F19" i="11"/>
  <c r="F20" i="11"/>
  <c r="B27" i="10"/>
  <c r="D9" i="13" l="1"/>
  <c r="B31" i="13"/>
  <c r="B22" i="13"/>
  <c r="D56" i="4"/>
  <c r="B41" i="13"/>
  <c r="D41" i="13" s="1"/>
  <c r="B21" i="9"/>
  <c r="B21" i="13"/>
  <c r="J39" i="13"/>
  <c r="D40" i="13"/>
  <c r="D18" i="11"/>
  <c r="E18" i="11" s="1"/>
  <c r="C49" i="7"/>
  <c r="E49" i="7" s="1"/>
  <c r="A28" i="11"/>
  <c r="E49" i="5"/>
  <c r="D53" i="4"/>
  <c r="D45" i="4"/>
  <c r="D57" i="4" s="1"/>
  <c r="C31" i="6"/>
  <c r="E30" i="6"/>
  <c r="B28" i="9"/>
  <c r="C39" i="7"/>
  <c r="E39" i="7" s="1"/>
  <c r="C48" i="5"/>
  <c r="E39" i="5"/>
  <c r="C39" i="8"/>
  <c r="A18" i="11"/>
  <c r="C41" i="4"/>
  <c r="G30" i="7"/>
  <c r="H30" i="7" s="1"/>
  <c r="C31" i="8"/>
  <c r="E30" i="8"/>
  <c r="R47" i="3"/>
  <c r="J59" i="3"/>
  <c r="C47" i="4"/>
  <c r="B59" i="4"/>
  <c r="D33" i="7"/>
  <c r="D34" i="7" s="1"/>
  <c r="D35" i="7" s="1"/>
  <c r="D36" i="7" s="1"/>
  <c r="D37" i="7" s="1"/>
  <c r="D38" i="7" s="1"/>
  <c r="D39" i="7" s="1"/>
  <c r="D21" i="11"/>
  <c r="E21" i="11" s="1"/>
  <c r="G21" i="11" s="1"/>
  <c r="D19" i="11"/>
  <c r="E19" i="11" s="1"/>
  <c r="H19" i="11" s="1"/>
  <c r="E48" i="8"/>
  <c r="C49" i="8"/>
  <c r="J55" i="3"/>
  <c r="R43" i="3"/>
  <c r="D44" i="5"/>
  <c r="B22" i="11"/>
  <c r="D49" i="5"/>
  <c r="B27" i="11"/>
  <c r="B9" i="11"/>
  <c r="H30" i="5"/>
  <c r="G30" i="5"/>
  <c r="C9" i="11" s="1"/>
  <c r="D31" i="5"/>
  <c r="R49" i="3"/>
  <c r="J61" i="3"/>
  <c r="B61" i="4"/>
  <c r="D43" i="4"/>
  <c r="D55" i="4" s="1"/>
  <c r="B55" i="4"/>
  <c r="D56" i="8"/>
  <c r="B50" i="4"/>
  <c r="B50" i="3"/>
  <c r="D35" i="6"/>
  <c r="B42" i="3"/>
  <c r="D48" i="8"/>
  <c r="B42" i="4"/>
  <c r="E20" i="11"/>
  <c r="G20" i="11" s="1"/>
  <c r="D36" i="9"/>
  <c r="D39" i="9" s="1"/>
  <c r="C43" i="4" l="1"/>
  <c r="C55" i="4" s="1"/>
  <c r="C59" i="4"/>
  <c r="D39" i="13"/>
  <c r="D42" i="13" s="1"/>
  <c r="J38" i="13"/>
  <c r="J41" i="13" s="1"/>
  <c r="P54" i="13" s="1"/>
  <c r="H18" i="11"/>
  <c r="C40" i="8"/>
  <c r="E39" i="8"/>
  <c r="C32" i="6"/>
  <c r="E31" i="6"/>
  <c r="G39" i="5"/>
  <c r="C18" i="11" s="1"/>
  <c r="J18" i="11" s="1"/>
  <c r="C32" i="8"/>
  <c r="E31" i="8"/>
  <c r="H30" i="8"/>
  <c r="G30" i="8"/>
  <c r="C45" i="4"/>
  <c r="C57" i="4" s="1"/>
  <c r="C44" i="4"/>
  <c r="C56" i="4" s="1"/>
  <c r="C46" i="4"/>
  <c r="C58" i="4" s="1"/>
  <c r="C53" i="4"/>
  <c r="C48" i="4"/>
  <c r="C60" i="4" s="1"/>
  <c r="E48" i="5"/>
  <c r="C48" i="7"/>
  <c r="E48" i="7" s="1"/>
  <c r="A27" i="11"/>
  <c r="G39" i="7"/>
  <c r="H39" i="7" s="1"/>
  <c r="D40" i="7"/>
  <c r="G18" i="11"/>
  <c r="G19" i="11"/>
  <c r="I19" i="11" s="1"/>
  <c r="C50" i="8"/>
  <c r="E49" i="8"/>
  <c r="C42" i="4"/>
  <c r="B54" i="4"/>
  <c r="D42" i="4"/>
  <c r="D54" i="4" s="1"/>
  <c r="C54" i="4"/>
  <c r="J54" i="3"/>
  <c r="R42" i="3"/>
  <c r="D36" i="6"/>
  <c r="B62" i="4"/>
  <c r="J9" i="11"/>
  <c r="D9" i="11"/>
  <c r="E9" i="11" s="1"/>
  <c r="G9" i="11" s="1"/>
  <c r="F9" i="11"/>
  <c r="D50" i="5"/>
  <c r="B28" i="11"/>
  <c r="D45" i="5"/>
  <c r="B23" i="11"/>
  <c r="J62" i="3"/>
  <c r="R50" i="3"/>
  <c r="D32" i="5"/>
  <c r="G31" i="5"/>
  <c r="C10" i="11" s="1"/>
  <c r="B10" i="11"/>
  <c r="D27" i="11"/>
  <c r="E27" i="11" s="1"/>
  <c r="G27" i="11" s="1"/>
  <c r="F27" i="11"/>
  <c r="D22" i="11"/>
  <c r="F22" i="11"/>
  <c r="H20" i="11"/>
  <c r="H21" i="11"/>
  <c r="I21" i="11" s="1"/>
  <c r="H31" i="5" l="1"/>
  <c r="H39" i="5"/>
  <c r="K18" i="11"/>
  <c r="I18" i="11"/>
  <c r="E32" i="6"/>
  <c r="C33" i="6"/>
  <c r="C33" i="8"/>
  <c r="E32" i="8"/>
  <c r="E40" i="8"/>
  <c r="C41" i="8"/>
  <c r="G31" i="8"/>
  <c r="H31" i="8" s="1"/>
  <c r="D41" i="7"/>
  <c r="H9" i="11"/>
  <c r="K9" i="11" s="1"/>
  <c r="H27" i="11"/>
  <c r="I27" i="11" s="1"/>
  <c r="E50" i="8"/>
  <c r="C51" i="8"/>
  <c r="B11" i="11"/>
  <c r="D33" i="5"/>
  <c r="F23" i="11"/>
  <c r="D23" i="11"/>
  <c r="B29" i="11"/>
  <c r="D51" i="5"/>
  <c r="E22" i="11"/>
  <c r="G22" i="11" s="1"/>
  <c r="F10" i="11"/>
  <c r="J10" i="11"/>
  <c r="D10" i="11"/>
  <c r="D46" i="5"/>
  <c r="B24" i="11"/>
  <c r="F28" i="11"/>
  <c r="D28" i="11"/>
  <c r="D37" i="6"/>
  <c r="I20" i="11"/>
  <c r="L18" i="11" l="1"/>
  <c r="C42" i="8"/>
  <c r="E41" i="8"/>
  <c r="G32" i="8"/>
  <c r="H32" i="8" s="1"/>
  <c r="C34" i="8"/>
  <c r="E33" i="8"/>
  <c r="C34" i="6"/>
  <c r="E33" i="6"/>
  <c r="I9" i="11"/>
  <c r="L9" i="11" s="1"/>
  <c r="D42" i="7"/>
  <c r="C52" i="8"/>
  <c r="E51" i="8"/>
  <c r="H22" i="11"/>
  <c r="I22" i="11" s="1"/>
  <c r="D38" i="6"/>
  <c r="E28" i="11"/>
  <c r="G28" i="11" s="1"/>
  <c r="F24" i="11"/>
  <c r="D24" i="11"/>
  <c r="E10" i="11"/>
  <c r="G10" i="11" s="1"/>
  <c r="D29" i="11"/>
  <c r="F29" i="11"/>
  <c r="F11" i="11"/>
  <c r="D11" i="11"/>
  <c r="D47" i="5"/>
  <c r="B26" i="11" s="1"/>
  <c r="B25" i="11"/>
  <c r="B30" i="11"/>
  <c r="D52" i="5"/>
  <c r="E23" i="11"/>
  <c r="G23" i="11" s="1"/>
  <c r="B12" i="11"/>
  <c r="D34" i="5"/>
  <c r="E34" i="6" l="1"/>
  <c r="C35" i="6"/>
  <c r="G33" i="8"/>
  <c r="H33" i="8" s="1"/>
  <c r="C35" i="8"/>
  <c r="E34" i="8"/>
  <c r="C43" i="8"/>
  <c r="E42" i="8"/>
  <c r="D43" i="7"/>
  <c r="H23" i="11"/>
  <c r="I23" i="11" s="1"/>
  <c r="H10" i="11"/>
  <c r="K10" i="11" s="1"/>
  <c r="H28" i="11"/>
  <c r="C53" i="8"/>
  <c r="E52" i="8"/>
  <c r="D12" i="11"/>
  <c r="F12" i="11"/>
  <c r="F30" i="11"/>
  <c r="D30" i="11"/>
  <c r="F26" i="11"/>
  <c r="D26" i="11"/>
  <c r="B13" i="11"/>
  <c r="D35" i="5"/>
  <c r="D53" i="5"/>
  <c r="B31" i="11"/>
  <c r="F25" i="11"/>
  <c r="D25" i="11"/>
  <c r="E11" i="11"/>
  <c r="H11" i="11" s="1"/>
  <c r="E29" i="11"/>
  <c r="G29" i="11" s="1"/>
  <c r="E24" i="11"/>
  <c r="G24" i="11" s="1"/>
  <c r="C44" i="8" l="1"/>
  <c r="E43" i="8"/>
  <c r="G34" i="8"/>
  <c r="H34" i="8" s="1"/>
  <c r="C36" i="6"/>
  <c r="E35" i="6"/>
  <c r="C36" i="8"/>
  <c r="E35" i="8"/>
  <c r="I28" i="11"/>
  <c r="I10" i="11"/>
  <c r="L10" i="11" s="1"/>
  <c r="D44" i="7"/>
  <c r="H24" i="11"/>
  <c r="I24" i="11" s="1"/>
  <c r="C54" i="8"/>
  <c r="E53" i="8"/>
  <c r="B32" i="11"/>
  <c r="D54" i="5"/>
  <c r="D13" i="11"/>
  <c r="F13" i="11"/>
  <c r="E26" i="11"/>
  <c r="G26" i="11" s="1"/>
  <c r="E30" i="11"/>
  <c r="G30" i="11" s="1"/>
  <c r="E12" i="11"/>
  <c r="G12" i="11" s="1"/>
  <c r="E25" i="11"/>
  <c r="H25" i="11" s="1"/>
  <c r="F31" i="11"/>
  <c r="D31" i="11"/>
  <c r="B14" i="11"/>
  <c r="D36" i="5"/>
  <c r="H29" i="11"/>
  <c r="I29" i="11" s="1"/>
  <c r="G11" i="11"/>
  <c r="I11" i="11" s="1"/>
  <c r="E36" i="6" l="1"/>
  <c r="C37" i="6"/>
  <c r="E44" i="8"/>
  <c r="C45" i="8"/>
  <c r="G35" i="8"/>
  <c r="H35" i="8" s="1"/>
  <c r="E36" i="8"/>
  <c r="C37" i="8"/>
  <c r="D45" i="7"/>
  <c r="H12" i="11"/>
  <c r="I12" i="11" s="1"/>
  <c r="H26" i="11"/>
  <c r="I26" i="11" s="1"/>
  <c r="E54" i="8"/>
  <c r="C55" i="8"/>
  <c r="H30" i="11"/>
  <c r="I30" i="11" s="1"/>
  <c r="F14" i="11"/>
  <c r="D14" i="11"/>
  <c r="E13" i="11"/>
  <c r="H13" i="11" s="1"/>
  <c r="D32" i="11"/>
  <c r="F32" i="11"/>
  <c r="D37" i="5"/>
  <c r="B15" i="11"/>
  <c r="E31" i="11"/>
  <c r="G31" i="11" s="1"/>
  <c r="D55" i="5"/>
  <c r="B33" i="11"/>
  <c r="G25" i="11"/>
  <c r="I25" i="11" s="1"/>
  <c r="E37" i="8" l="1"/>
  <c r="C38" i="8"/>
  <c r="E38" i="8" s="1"/>
  <c r="E45" i="8"/>
  <c r="C46" i="8"/>
  <c r="G36" i="8"/>
  <c r="H36" i="8" s="1"/>
  <c r="E37" i="6"/>
  <c r="C38" i="6"/>
  <c r="D46" i="7"/>
  <c r="H31" i="11"/>
  <c r="I31" i="11" s="1"/>
  <c r="G13" i="11"/>
  <c r="I13" i="11" s="1"/>
  <c r="C56" i="8"/>
  <c r="E56" i="8" s="1"/>
  <c r="E55" i="8"/>
  <c r="B34" i="11"/>
  <c r="D56" i="5"/>
  <c r="B35" i="11" s="1"/>
  <c r="B16" i="11"/>
  <c r="D38" i="5"/>
  <c r="B17" i="11" s="1"/>
  <c r="E32" i="11"/>
  <c r="H32" i="11" s="1"/>
  <c r="D33" i="11"/>
  <c r="F33" i="11"/>
  <c r="D15" i="11"/>
  <c r="F15" i="11"/>
  <c r="E14" i="11"/>
  <c r="G14" i="11" s="1"/>
  <c r="E46" i="8" l="1"/>
  <c r="C47" i="8"/>
  <c r="E47" i="8" s="1"/>
  <c r="E38" i="6"/>
  <c r="C39" i="6"/>
  <c r="D47" i="7"/>
  <c r="E15" i="11"/>
  <c r="G15" i="11" s="1"/>
  <c r="E33" i="11"/>
  <c r="G33" i="11" s="1"/>
  <c r="D16" i="11"/>
  <c r="F16" i="11"/>
  <c r="F34" i="11"/>
  <c r="D34" i="11"/>
  <c r="F17" i="11"/>
  <c r="D17" i="11"/>
  <c r="F35" i="11"/>
  <c r="D35" i="11"/>
  <c r="H14" i="11"/>
  <c r="I14" i="11" s="1"/>
  <c r="G32" i="11"/>
  <c r="I32" i="11" s="1"/>
  <c r="C40" i="6" l="1"/>
  <c r="E39" i="6"/>
  <c r="D48" i="7"/>
  <c r="H15" i="11"/>
  <c r="I15" i="11" s="1"/>
  <c r="H33" i="11"/>
  <c r="I33" i="11" s="1"/>
  <c r="E35" i="11"/>
  <c r="H35" i="11" s="1"/>
  <c r="E17" i="11"/>
  <c r="H17" i="11" s="1"/>
  <c r="E34" i="11"/>
  <c r="H34" i="11" s="1"/>
  <c r="E16" i="11"/>
  <c r="G16" i="11" s="1"/>
  <c r="E40" i="6" l="1"/>
  <c r="C41" i="6"/>
  <c r="D49" i="7"/>
  <c r="G48" i="7"/>
  <c r="H48" i="7" s="1"/>
  <c r="H16" i="11"/>
  <c r="I16" i="11" s="1"/>
  <c r="G34" i="11"/>
  <c r="I34" i="11" s="1"/>
  <c r="G17" i="11"/>
  <c r="I17" i="11" s="1"/>
  <c r="G35" i="11"/>
  <c r="I35" i="11" s="1"/>
  <c r="C42" i="6" l="1"/>
  <c r="E41" i="6"/>
  <c r="D50" i="7"/>
  <c r="E42" i="6" l="1"/>
  <c r="C43" i="6"/>
  <c r="D51" i="7"/>
  <c r="C44" i="6" l="1"/>
  <c r="E43" i="6"/>
  <c r="D52" i="7"/>
  <c r="C45" i="6" l="1"/>
  <c r="E44" i="6"/>
  <c r="D53" i="7"/>
  <c r="E45" i="6" l="1"/>
  <c r="C46" i="6"/>
  <c r="D54" i="7"/>
  <c r="E46" i="6" l="1"/>
  <c r="C47" i="6"/>
  <c r="E42" i="4"/>
  <c r="E54" i="4" s="1"/>
  <c r="D55" i="7"/>
  <c r="C48" i="6" l="1"/>
  <c r="E47" i="6"/>
  <c r="D56" i="7"/>
  <c r="E48" i="6" l="1"/>
  <c r="C49" i="6"/>
  <c r="E49" i="6" l="1"/>
  <c r="C50" i="6"/>
  <c r="E50" i="6" l="1"/>
  <c r="C51" i="6"/>
  <c r="E51" i="6" l="1"/>
  <c r="C52" i="6"/>
  <c r="E52" i="6" l="1"/>
  <c r="C53" i="6"/>
  <c r="E53" i="6" l="1"/>
  <c r="C54" i="6"/>
  <c r="C55" i="6" l="1"/>
  <c r="E54" i="6"/>
  <c r="E55" i="6" l="1"/>
  <c r="C56" i="6"/>
  <c r="E56" i="6" s="1"/>
  <c r="G32" i="5"/>
  <c r="J34" i="2"/>
  <c r="P34" i="2" s="1"/>
  <c r="F15" i="2"/>
  <c r="B22" i="2" s="1"/>
  <c r="B48" i="2" l="1"/>
  <c r="B3" i="5" s="1"/>
  <c r="B3" i="8" s="1"/>
  <c r="B29" i="2"/>
  <c r="U20" i="2"/>
  <c r="H34" i="3" s="1"/>
  <c r="C11" i="11"/>
  <c r="J11" i="11" s="1"/>
  <c r="K11" i="11" s="1"/>
  <c r="L11" i="11" s="1"/>
  <c r="H32" i="5"/>
  <c r="B3" i="6" l="1"/>
  <c r="B34" i="6" s="1"/>
  <c r="F34" i="6" s="1"/>
  <c r="B3" i="7"/>
  <c r="H34" i="4"/>
  <c r="F25" i="5"/>
  <c r="F25" i="7" s="1"/>
  <c r="B43" i="6" l="1"/>
  <c r="B33" i="6"/>
  <c r="B32" i="6" s="1"/>
  <c r="B39" i="7"/>
  <c r="B35" i="6"/>
  <c r="F35" i="6" s="1"/>
  <c r="G35" i="6" s="1"/>
  <c r="H35" i="6" s="1"/>
  <c r="I35" i="6" s="1"/>
  <c r="J35" i="6" s="1"/>
  <c r="F25" i="8"/>
  <c r="F25" i="6"/>
  <c r="G34" i="6"/>
  <c r="H34" i="6" s="1"/>
  <c r="I34" i="6" s="1"/>
  <c r="J34" i="6" s="1"/>
  <c r="B52" i="6"/>
  <c r="G41" i="3"/>
  <c r="F43" i="6"/>
  <c r="G43" i="6" s="1"/>
  <c r="H43" i="6" s="1"/>
  <c r="I43" i="6" s="1"/>
  <c r="J43" i="6" s="1"/>
  <c r="F39" i="7"/>
  <c r="I39" i="7"/>
  <c r="J39" i="7" s="1"/>
  <c r="B40" i="7"/>
  <c r="B44" i="6" l="1"/>
  <c r="F33" i="6"/>
  <c r="G33" i="6" s="1"/>
  <c r="H33" i="6" s="1"/>
  <c r="I33" i="6" s="1"/>
  <c r="J33" i="6" s="1"/>
  <c r="B36" i="6"/>
  <c r="B37" i="6" s="1"/>
  <c r="B42" i="6"/>
  <c r="B45" i="6"/>
  <c r="F36" i="6"/>
  <c r="G36" i="6" s="1"/>
  <c r="H36" i="6" s="1"/>
  <c r="I36" i="6" s="1"/>
  <c r="J36" i="6" s="1"/>
  <c r="B31" i="6"/>
  <c r="B41" i="6"/>
  <c r="F32" i="6"/>
  <c r="G32" i="6" s="1"/>
  <c r="H32" i="6" s="1"/>
  <c r="I32" i="6" s="1"/>
  <c r="J32" i="6" s="1"/>
  <c r="B51" i="6"/>
  <c r="F42" i="6"/>
  <c r="G42" i="6" s="1"/>
  <c r="H42" i="6" s="1"/>
  <c r="I42" i="6" s="1"/>
  <c r="J42" i="6" s="1"/>
  <c r="F41" i="3"/>
  <c r="O53" i="3"/>
  <c r="W41" i="3"/>
  <c r="G48" i="3"/>
  <c r="O60" i="3" s="1"/>
  <c r="G49" i="3"/>
  <c r="O61" i="3" s="1"/>
  <c r="G42" i="3"/>
  <c r="O54" i="3" s="1"/>
  <c r="G44" i="3"/>
  <c r="O56" i="3" s="1"/>
  <c r="W44" i="3" s="1"/>
  <c r="G47" i="3"/>
  <c r="O59" i="3" s="1"/>
  <c r="G46" i="3"/>
  <c r="O58" i="3" s="1"/>
  <c r="G43" i="3"/>
  <c r="O55" i="3" s="1"/>
  <c r="G45" i="3"/>
  <c r="O57" i="3" s="1"/>
  <c r="W45" i="3" s="1"/>
  <c r="G50" i="3"/>
  <c r="O62" i="3" s="1"/>
  <c r="F40" i="7"/>
  <c r="G40" i="7" s="1"/>
  <c r="H40" i="7" s="1"/>
  <c r="I40" i="7" s="1"/>
  <c r="J40" i="7" s="1"/>
  <c r="B41" i="7"/>
  <c r="F44" i="6"/>
  <c r="G44" i="6" s="1"/>
  <c r="H44" i="6" s="1"/>
  <c r="I44" i="6" s="1"/>
  <c r="J44" i="6" s="1"/>
  <c r="B53" i="6"/>
  <c r="H41" i="3"/>
  <c r="F52" i="6"/>
  <c r="G52" i="6" s="1"/>
  <c r="H52" i="6" s="1"/>
  <c r="I52" i="6" s="1"/>
  <c r="J52" i="6" s="1"/>
  <c r="W46" i="3" l="1"/>
  <c r="W49" i="3"/>
  <c r="W50" i="3"/>
  <c r="W47" i="3"/>
  <c r="W48" i="3"/>
  <c r="W43" i="3"/>
  <c r="W42" i="3"/>
  <c r="F53" i="6"/>
  <c r="G53" i="6" s="1"/>
  <c r="H53" i="6" s="1"/>
  <c r="I53" i="6" s="1"/>
  <c r="J53" i="6" s="1"/>
  <c r="F37" i="6"/>
  <c r="G37" i="6" s="1"/>
  <c r="H37" i="6" s="1"/>
  <c r="I37" i="6" s="1"/>
  <c r="J37" i="6" s="1"/>
  <c r="B38" i="6"/>
  <c r="B46" i="6"/>
  <c r="F51" i="6"/>
  <c r="G51" i="6" s="1"/>
  <c r="H51" i="6" s="1"/>
  <c r="I51" i="6" s="1"/>
  <c r="J51" i="6" s="1"/>
  <c r="B50" i="6"/>
  <c r="E41" i="3"/>
  <c r="F41" i="6"/>
  <c r="G41" i="6" s="1"/>
  <c r="H41" i="6" s="1"/>
  <c r="I41" i="6" s="1"/>
  <c r="J41" i="6" s="1"/>
  <c r="B42" i="7"/>
  <c r="F41" i="7"/>
  <c r="G41" i="7" s="1"/>
  <c r="H41" i="7" s="1"/>
  <c r="I41" i="7" s="1"/>
  <c r="J41" i="7" s="1"/>
  <c r="X41" i="3"/>
  <c r="H47" i="3"/>
  <c r="P59" i="3" s="1"/>
  <c r="P53" i="3"/>
  <c r="H42" i="3"/>
  <c r="P54" i="3" s="1"/>
  <c r="H46" i="3"/>
  <c r="P58" i="3" s="1"/>
  <c r="X46" i="3" s="1"/>
  <c r="H48" i="3"/>
  <c r="P60" i="3" s="1"/>
  <c r="H44" i="3"/>
  <c r="P56" i="3" s="1"/>
  <c r="H45" i="3"/>
  <c r="P57" i="3" s="1"/>
  <c r="H49" i="3"/>
  <c r="P61" i="3" s="1"/>
  <c r="X49" i="3" s="1"/>
  <c r="H43" i="3"/>
  <c r="P55" i="3" s="1"/>
  <c r="H50" i="3"/>
  <c r="P62" i="3" s="1"/>
  <c r="V41" i="3"/>
  <c r="N53" i="3"/>
  <c r="F46" i="3"/>
  <c r="N58" i="3" s="1"/>
  <c r="F42" i="3"/>
  <c r="N54" i="3" s="1"/>
  <c r="F47" i="3"/>
  <c r="N59" i="3" s="1"/>
  <c r="V47" i="3" s="1"/>
  <c r="F50" i="3"/>
  <c r="N62" i="3" s="1"/>
  <c r="F45" i="3"/>
  <c r="N57" i="3" s="1"/>
  <c r="V45" i="3" s="1"/>
  <c r="F48" i="3"/>
  <c r="N60" i="3" s="1"/>
  <c r="F44" i="3"/>
  <c r="N56" i="3" s="1"/>
  <c r="V44" i="3" s="1"/>
  <c r="F43" i="3"/>
  <c r="N55" i="3" s="1"/>
  <c r="F49" i="3"/>
  <c r="N61" i="3" s="1"/>
  <c r="V49" i="3" s="1"/>
  <c r="F31" i="6"/>
  <c r="G31" i="6" s="1"/>
  <c r="H31" i="6" s="1"/>
  <c r="I31" i="6" s="1"/>
  <c r="J31" i="6" s="1"/>
  <c r="B30" i="6"/>
  <c r="B40" i="6"/>
  <c r="F45" i="6"/>
  <c r="G45" i="6" s="1"/>
  <c r="H45" i="6" s="1"/>
  <c r="I45" i="6" s="1"/>
  <c r="J45" i="6" s="1"/>
  <c r="B54" i="6"/>
  <c r="I41" i="3"/>
  <c r="V46" i="3" l="1"/>
  <c r="X45" i="3"/>
  <c r="X50" i="3"/>
  <c r="X44" i="3"/>
  <c r="X43" i="3"/>
  <c r="X48" i="3"/>
  <c r="X42" i="3"/>
  <c r="X47" i="3"/>
  <c r="Q53" i="3"/>
  <c r="Y41" i="3"/>
  <c r="I47" i="3"/>
  <c r="Q59" i="3" s="1"/>
  <c r="I44" i="3"/>
  <c r="Q56" i="3" s="1"/>
  <c r="Y44" i="3" s="1"/>
  <c r="I48" i="3"/>
  <c r="Q60" i="3" s="1"/>
  <c r="I43" i="3"/>
  <c r="Q55" i="3" s="1"/>
  <c r="Y43" i="3" s="1"/>
  <c r="I45" i="3"/>
  <c r="Q57" i="3" s="1"/>
  <c r="I46" i="3"/>
  <c r="Q58" i="3" s="1"/>
  <c r="Y46" i="3" s="1"/>
  <c r="I50" i="3"/>
  <c r="Q62" i="3" s="1"/>
  <c r="I42" i="3"/>
  <c r="Q54" i="3" s="1"/>
  <c r="Y42" i="3" s="1"/>
  <c r="I49" i="3"/>
  <c r="Q61" i="3" s="1"/>
  <c r="B49" i="6"/>
  <c r="F40" i="6"/>
  <c r="G40" i="6" s="1"/>
  <c r="H40" i="6" s="1"/>
  <c r="I40" i="6" s="1"/>
  <c r="J40" i="6" s="1"/>
  <c r="D41" i="3"/>
  <c r="V48" i="3"/>
  <c r="V42" i="3"/>
  <c r="F54" i="6"/>
  <c r="G54" i="6" s="1"/>
  <c r="H54" i="6" s="1"/>
  <c r="I54" i="6" s="1"/>
  <c r="J54" i="6" s="1"/>
  <c r="V43" i="3"/>
  <c r="V50" i="3"/>
  <c r="F42" i="7"/>
  <c r="G42" i="7" s="1"/>
  <c r="H42" i="7" s="1"/>
  <c r="I42" i="7" s="1"/>
  <c r="J42" i="7" s="1"/>
  <c r="B43" i="7"/>
  <c r="M53" i="3"/>
  <c r="U41" i="3"/>
  <c r="E50" i="3"/>
  <c r="M62" i="3" s="1"/>
  <c r="E49" i="3"/>
  <c r="M61" i="3" s="1"/>
  <c r="U49" i="3" s="1"/>
  <c r="E46" i="3"/>
  <c r="M58" i="3" s="1"/>
  <c r="E47" i="3"/>
  <c r="M59" i="3" s="1"/>
  <c r="U47" i="3" s="1"/>
  <c r="E48" i="3"/>
  <c r="M60" i="3" s="1"/>
  <c r="E44" i="3"/>
  <c r="M56" i="3" s="1"/>
  <c r="U44" i="3" s="1"/>
  <c r="E42" i="3"/>
  <c r="M54" i="3" s="1"/>
  <c r="E45" i="3"/>
  <c r="M57" i="3" s="1"/>
  <c r="U45" i="3" s="1"/>
  <c r="E43" i="3"/>
  <c r="M55" i="3" s="1"/>
  <c r="F46" i="6"/>
  <c r="G46" i="6" s="1"/>
  <c r="H46" i="6" s="1"/>
  <c r="I46" i="6" s="1"/>
  <c r="J46" i="6" s="1"/>
  <c r="B55" i="6"/>
  <c r="J41" i="3"/>
  <c r="F30" i="6"/>
  <c r="B39" i="6"/>
  <c r="B30" i="7"/>
  <c r="B30" i="5"/>
  <c r="G30" i="6"/>
  <c r="H30" i="6" s="1"/>
  <c r="I30" i="6" s="1"/>
  <c r="J30" i="6" s="1"/>
  <c r="F50" i="6"/>
  <c r="G50" i="6" s="1"/>
  <c r="H50" i="6" s="1"/>
  <c r="I50" i="6" s="1"/>
  <c r="J50" i="6" s="1"/>
  <c r="B48" i="7"/>
  <c r="B47" i="6"/>
  <c r="F38" i="6"/>
  <c r="G38" i="6" s="1"/>
  <c r="H38" i="6" s="1"/>
  <c r="I38" i="6" s="1"/>
  <c r="J38" i="6" s="1"/>
  <c r="Y49" i="3" l="1"/>
  <c r="Y50" i="3"/>
  <c r="Y48" i="3"/>
  <c r="Y45" i="3"/>
  <c r="Y47" i="3"/>
  <c r="B30" i="13"/>
  <c r="D6" i="13" s="1"/>
  <c r="F30" i="5"/>
  <c r="U43" i="3"/>
  <c r="U48" i="3"/>
  <c r="U50" i="3"/>
  <c r="U42" i="3"/>
  <c r="U46" i="3"/>
  <c r="I30" i="5"/>
  <c r="J30" i="5" s="1"/>
  <c r="B3" i="11"/>
  <c r="B27" i="9"/>
  <c r="D6" i="9" s="1"/>
  <c r="B30" i="8"/>
  <c r="B31" i="5"/>
  <c r="F30" i="7"/>
  <c r="I30" i="7"/>
  <c r="J30" i="7" s="1"/>
  <c r="B31" i="7"/>
  <c r="L53" i="3"/>
  <c r="D42" i="3"/>
  <c r="L54" i="3" s="1"/>
  <c r="D47" i="3"/>
  <c r="L59" i="3" s="1"/>
  <c r="D49" i="3"/>
  <c r="L61" i="3" s="1"/>
  <c r="D50" i="3"/>
  <c r="L62" i="3" s="1"/>
  <c r="D44" i="3"/>
  <c r="L56" i="3" s="1"/>
  <c r="D48" i="3"/>
  <c r="L60" i="3" s="1"/>
  <c r="T48" i="3" s="1"/>
  <c r="D46" i="3"/>
  <c r="L58" i="3" s="1"/>
  <c r="T41" i="3"/>
  <c r="D43" i="3"/>
  <c r="L55" i="3" s="1"/>
  <c r="D45" i="3"/>
  <c r="L57" i="3" s="1"/>
  <c r="T45" i="3" s="1"/>
  <c r="F47" i="6"/>
  <c r="G47" i="6" s="1"/>
  <c r="H47" i="6" s="1"/>
  <c r="I47" i="6" s="1"/>
  <c r="J47" i="6" s="1"/>
  <c r="B56" i="6"/>
  <c r="K41" i="3"/>
  <c r="F39" i="6"/>
  <c r="G39" i="6" s="1"/>
  <c r="H39" i="6" s="1"/>
  <c r="I39" i="6" s="1"/>
  <c r="J39" i="6" s="1"/>
  <c r="C41" i="3"/>
  <c r="B48" i="6"/>
  <c r="Z41" i="3"/>
  <c r="J43" i="3"/>
  <c r="R55" i="3" s="1"/>
  <c r="J47" i="3"/>
  <c r="R59" i="3" s="1"/>
  <c r="J42" i="3"/>
  <c r="R54" i="3" s="1"/>
  <c r="J49" i="3"/>
  <c r="R61" i="3" s="1"/>
  <c r="Z49" i="3" s="1"/>
  <c r="R53" i="3"/>
  <c r="J46" i="3"/>
  <c r="R58" i="3" s="1"/>
  <c r="J44" i="3"/>
  <c r="R56" i="3" s="1"/>
  <c r="J50" i="3"/>
  <c r="R62" i="3" s="1"/>
  <c r="Z50" i="3" s="1"/>
  <c r="J45" i="3"/>
  <c r="R57" i="3" s="1"/>
  <c r="J48" i="3"/>
  <c r="R60" i="3" s="1"/>
  <c r="F55" i="6"/>
  <c r="G55" i="6" s="1"/>
  <c r="H55" i="6" s="1"/>
  <c r="I55" i="6" s="1"/>
  <c r="J55" i="6" s="1"/>
  <c r="F48" i="7"/>
  <c r="B49" i="7"/>
  <c r="I48" i="7"/>
  <c r="J48" i="7" s="1"/>
  <c r="F43" i="7"/>
  <c r="G43" i="7" s="1"/>
  <c r="H43" i="7" s="1"/>
  <c r="I43" i="7" s="1"/>
  <c r="J43" i="7" s="1"/>
  <c r="B44" i="7"/>
  <c r="F49" i="6"/>
  <c r="G49" i="6" s="1"/>
  <c r="H49" i="6" s="1"/>
  <c r="I49" i="6" s="1"/>
  <c r="J49" i="6" s="1"/>
  <c r="Z44" i="3" l="1"/>
  <c r="Z42" i="3"/>
  <c r="T43" i="3"/>
  <c r="T44" i="3"/>
  <c r="Z48" i="3"/>
  <c r="Z45" i="3"/>
  <c r="T46" i="3"/>
  <c r="Z46" i="3"/>
  <c r="T42" i="3"/>
  <c r="Z47" i="3"/>
  <c r="T49" i="3"/>
  <c r="F44" i="7"/>
  <c r="G44" i="7" s="1"/>
  <c r="H44" i="7" s="1"/>
  <c r="I44" i="7" s="1"/>
  <c r="J44" i="7" s="1"/>
  <c r="B45" i="7"/>
  <c r="F49" i="7"/>
  <c r="G49" i="7" s="1"/>
  <c r="H49" i="7" s="1"/>
  <c r="I49" i="7" s="1"/>
  <c r="J49" i="7" s="1"/>
  <c r="B50" i="7"/>
  <c r="Z43" i="3"/>
  <c r="T50" i="3"/>
  <c r="AA41" i="3"/>
  <c r="S53" i="3"/>
  <c r="K46" i="3"/>
  <c r="S58" i="3" s="1"/>
  <c r="AA46" i="3" s="1"/>
  <c r="K49" i="3"/>
  <c r="S61" i="3" s="1"/>
  <c r="AA49" i="3" s="1"/>
  <c r="K50" i="3"/>
  <c r="S62" i="3" s="1"/>
  <c r="AA50" i="3" s="1"/>
  <c r="K48" i="3"/>
  <c r="S60" i="3" s="1"/>
  <c r="AA48" i="3" s="1"/>
  <c r="K45" i="3"/>
  <c r="S57" i="3" s="1"/>
  <c r="AA45" i="3" s="1"/>
  <c r="K44" i="3"/>
  <c r="S56" i="3" s="1"/>
  <c r="AA44" i="3" s="1"/>
  <c r="K42" i="3"/>
  <c r="S54" i="3" s="1"/>
  <c r="AA42" i="3" s="1"/>
  <c r="K43" i="3"/>
  <c r="S55" i="3" s="1"/>
  <c r="AA43" i="3" s="1"/>
  <c r="K47" i="3"/>
  <c r="S59" i="3" s="1"/>
  <c r="AA47" i="3" s="1"/>
  <c r="F31" i="5"/>
  <c r="I31" i="5"/>
  <c r="J31" i="5" s="1"/>
  <c r="B32" i="5"/>
  <c r="F48" i="6"/>
  <c r="G48" i="6" s="1"/>
  <c r="H48" i="6" s="1"/>
  <c r="I48" i="6" s="1"/>
  <c r="J48" i="6" s="1"/>
  <c r="T47" i="3"/>
  <c r="F31" i="7"/>
  <c r="G31" i="7" s="1"/>
  <c r="H31" i="7" s="1"/>
  <c r="I31" i="7" s="1"/>
  <c r="J31" i="7" s="1"/>
  <c r="B32" i="7"/>
  <c r="B31" i="8"/>
  <c r="F30" i="8"/>
  <c r="I30" i="8"/>
  <c r="J30" i="8" s="1"/>
  <c r="S41" i="3"/>
  <c r="K53" i="3"/>
  <c r="C44" i="3"/>
  <c r="K56" i="3" s="1"/>
  <c r="C48" i="3"/>
  <c r="K60" i="3" s="1"/>
  <c r="C43" i="3"/>
  <c r="K55" i="3" s="1"/>
  <c r="S43" i="3" s="1"/>
  <c r="C50" i="3"/>
  <c r="K62" i="3" s="1"/>
  <c r="C49" i="3"/>
  <c r="K61" i="3" s="1"/>
  <c r="C45" i="3"/>
  <c r="K57" i="3" s="1"/>
  <c r="C47" i="3"/>
  <c r="K59" i="3" s="1"/>
  <c r="S47" i="3" s="1"/>
  <c r="C42" i="3"/>
  <c r="K54" i="3" s="1"/>
  <c r="C46" i="3"/>
  <c r="K58" i="3" s="1"/>
  <c r="F56" i="6"/>
  <c r="G56" i="6" s="1"/>
  <c r="H56" i="6" s="1"/>
  <c r="I56" i="6" s="1"/>
  <c r="J56" i="6" s="1"/>
  <c r="S46" i="3" l="1"/>
  <c r="S49" i="3"/>
  <c r="S44" i="3"/>
  <c r="S42" i="3"/>
  <c r="S50" i="3"/>
  <c r="S45" i="3"/>
  <c r="S48" i="3"/>
  <c r="I31" i="8"/>
  <c r="J31" i="8" s="1"/>
  <c r="B32" i="8"/>
  <c r="F31" i="8"/>
  <c r="B33" i="7"/>
  <c r="F32" i="7"/>
  <c r="G32" i="7" s="1"/>
  <c r="H32" i="7" s="1"/>
  <c r="I32" i="7" s="1"/>
  <c r="J32" i="7" s="1"/>
  <c r="F32" i="5"/>
  <c r="I32" i="5"/>
  <c r="J32" i="5" s="1"/>
  <c r="B33" i="5"/>
  <c r="F50" i="7"/>
  <c r="G50" i="7" s="1"/>
  <c r="H50" i="7" s="1"/>
  <c r="I50" i="7" s="1"/>
  <c r="J50" i="7" s="1"/>
  <c r="B51" i="7"/>
  <c r="F45" i="7"/>
  <c r="G45" i="7" s="1"/>
  <c r="H45" i="7" s="1"/>
  <c r="I45" i="7" s="1"/>
  <c r="J45" i="7" s="1"/>
  <c r="B46" i="7"/>
  <c r="F32" i="8" l="1"/>
  <c r="I32" i="8"/>
  <c r="J32" i="8" s="1"/>
  <c r="B33" i="8"/>
  <c r="F46" i="7"/>
  <c r="G46" i="7" s="1"/>
  <c r="H46" i="7" s="1"/>
  <c r="I46" i="7" s="1"/>
  <c r="J46" i="7" s="1"/>
  <c r="B47" i="7"/>
  <c r="F51" i="7"/>
  <c r="G51" i="7" s="1"/>
  <c r="H51" i="7" s="1"/>
  <c r="I51" i="7" s="1"/>
  <c r="J51" i="7" s="1"/>
  <c r="B52" i="7"/>
  <c r="F33" i="7"/>
  <c r="G33" i="7" s="1"/>
  <c r="H33" i="7" s="1"/>
  <c r="I33" i="7" s="1"/>
  <c r="J33" i="7" s="1"/>
  <c r="B34" i="7"/>
  <c r="F33" i="5"/>
  <c r="G33" i="5" s="1"/>
  <c r="B34" i="5"/>
  <c r="F34" i="5" l="1"/>
  <c r="G34" i="5" s="1"/>
  <c r="B35" i="5"/>
  <c r="B35" i="7"/>
  <c r="F34" i="7"/>
  <c r="G34" i="7" s="1"/>
  <c r="H34" i="7" s="1"/>
  <c r="I34" i="7" s="1"/>
  <c r="J34" i="7" s="1"/>
  <c r="B34" i="8"/>
  <c r="F33" i="8"/>
  <c r="I33" i="8"/>
  <c r="J33" i="8" s="1"/>
  <c r="H33" i="5"/>
  <c r="I33" i="5" s="1"/>
  <c r="J33" i="5" s="1"/>
  <c r="C12" i="11"/>
  <c r="J12" i="11" s="1"/>
  <c r="K12" i="11" s="1"/>
  <c r="L12" i="11" s="1"/>
  <c r="F52" i="7"/>
  <c r="G52" i="7" s="1"/>
  <c r="H52" i="7" s="1"/>
  <c r="I52" i="7" s="1"/>
  <c r="J52" i="7" s="1"/>
  <c r="B53" i="7"/>
  <c r="F47" i="7"/>
  <c r="G47" i="7" s="1"/>
  <c r="H47" i="7" s="1"/>
  <c r="I47" i="7" s="1"/>
  <c r="J47" i="7" s="1"/>
  <c r="C13" i="11" l="1"/>
  <c r="J13" i="11" s="1"/>
  <c r="K13" i="11" s="1"/>
  <c r="L13" i="11" s="1"/>
  <c r="H34" i="5"/>
  <c r="I34" i="5" s="1"/>
  <c r="J34" i="5" s="1"/>
  <c r="F34" i="8"/>
  <c r="I34" i="8"/>
  <c r="J34" i="8" s="1"/>
  <c r="B35" i="8"/>
  <c r="F53" i="7"/>
  <c r="G53" i="7" s="1"/>
  <c r="H53" i="7" s="1"/>
  <c r="I53" i="7" s="1"/>
  <c r="J53" i="7" s="1"/>
  <c r="B54" i="7"/>
  <c r="F35" i="7"/>
  <c r="G35" i="7" s="1"/>
  <c r="H35" i="7" s="1"/>
  <c r="I35" i="7" s="1"/>
  <c r="J35" i="7" s="1"/>
  <c r="B36" i="7"/>
  <c r="F35" i="5"/>
  <c r="G35" i="5" s="1"/>
  <c r="B36" i="5"/>
  <c r="H35" i="5" l="1"/>
  <c r="I35" i="5" s="1"/>
  <c r="J35" i="5" s="1"/>
  <c r="C14" i="11"/>
  <c r="J14" i="11" s="1"/>
  <c r="K14" i="11" s="1"/>
  <c r="L14" i="11" s="1"/>
  <c r="F36" i="5"/>
  <c r="G36" i="5" s="1"/>
  <c r="B37" i="5"/>
  <c r="B37" i="7"/>
  <c r="F36" i="7"/>
  <c r="G36" i="7" s="1"/>
  <c r="H36" i="7" s="1"/>
  <c r="I36" i="7" s="1"/>
  <c r="J36" i="7" s="1"/>
  <c r="F54" i="7"/>
  <c r="G54" i="7" s="1"/>
  <c r="H54" i="7" s="1"/>
  <c r="I54" i="7" s="1"/>
  <c r="J54" i="7" s="1"/>
  <c r="B55" i="7"/>
  <c r="B36" i="8"/>
  <c r="F35" i="8"/>
  <c r="I35" i="8"/>
  <c r="J35" i="8" s="1"/>
  <c r="I36" i="8" l="1"/>
  <c r="J36" i="8" s="1"/>
  <c r="F36" i="8"/>
  <c r="B37" i="8"/>
  <c r="F55" i="7"/>
  <c r="G55" i="7" s="1"/>
  <c r="H55" i="7" s="1"/>
  <c r="I55" i="7" s="1"/>
  <c r="J55" i="7" s="1"/>
  <c r="B56" i="7"/>
  <c r="C15" i="11"/>
  <c r="J15" i="11" s="1"/>
  <c r="K15" i="11" s="1"/>
  <c r="L15" i="11" s="1"/>
  <c r="H36" i="5"/>
  <c r="I36" i="5" s="1"/>
  <c r="J36" i="5" s="1"/>
  <c r="B38" i="7"/>
  <c r="F37" i="7"/>
  <c r="G37" i="7" s="1"/>
  <c r="H37" i="7" s="1"/>
  <c r="I37" i="7" s="1"/>
  <c r="J37" i="7" s="1"/>
  <c r="F37" i="5"/>
  <c r="G37" i="5" s="1"/>
  <c r="B38" i="5"/>
  <c r="H37" i="5" l="1"/>
  <c r="I37" i="5" s="1"/>
  <c r="J37" i="5" s="1"/>
  <c r="C16" i="11"/>
  <c r="J16" i="11" s="1"/>
  <c r="K16" i="11" s="1"/>
  <c r="L16" i="11" s="1"/>
  <c r="F37" i="8"/>
  <c r="G37" i="8" s="1"/>
  <c r="H37" i="8" s="1"/>
  <c r="I37" i="8" s="1"/>
  <c r="J37" i="8" s="1"/>
  <c r="B38" i="8"/>
  <c r="F38" i="5"/>
  <c r="G38" i="5" s="1"/>
  <c r="B39" i="5"/>
  <c r="F38" i="7"/>
  <c r="G38" i="7" s="1"/>
  <c r="H38" i="7" s="1"/>
  <c r="I38" i="7" s="1"/>
  <c r="J38" i="7" s="1"/>
  <c r="F56" i="7"/>
  <c r="G56" i="7" s="1"/>
  <c r="H56" i="7" s="1"/>
  <c r="I56" i="7" s="1"/>
  <c r="J56" i="7" s="1"/>
  <c r="F39" i="5" l="1"/>
  <c r="I39" i="5"/>
  <c r="J39" i="5" s="1"/>
  <c r="B40" i="5"/>
  <c r="H38" i="5"/>
  <c r="I38" i="5" s="1"/>
  <c r="J38" i="5" s="1"/>
  <c r="C17" i="11"/>
  <c r="J17" i="11" s="1"/>
  <c r="K17" i="11" s="1"/>
  <c r="L17" i="11" s="1"/>
  <c r="F38" i="8"/>
  <c r="G38" i="8" s="1"/>
  <c r="H38" i="8" s="1"/>
  <c r="I38" i="8" s="1"/>
  <c r="J38" i="8" s="1"/>
  <c r="B39" i="8"/>
  <c r="F39" i="8" l="1"/>
  <c r="G39" i="8" s="1"/>
  <c r="H39" i="8" s="1"/>
  <c r="I39" i="8" s="1"/>
  <c r="J39" i="8" s="1"/>
  <c r="B40" i="8"/>
  <c r="F40" i="5"/>
  <c r="G40" i="5" s="1"/>
  <c r="B41" i="5"/>
  <c r="C19" i="11" l="1"/>
  <c r="J19" i="11" s="1"/>
  <c r="K19" i="11" s="1"/>
  <c r="L19" i="11" s="1"/>
  <c r="H40" i="5"/>
  <c r="I40" i="5" s="1"/>
  <c r="J40" i="5" s="1"/>
  <c r="F40" i="8"/>
  <c r="G40" i="8" s="1"/>
  <c r="H40" i="8" s="1"/>
  <c r="I40" i="8" s="1"/>
  <c r="J40" i="8" s="1"/>
  <c r="B41" i="8"/>
  <c r="F41" i="5"/>
  <c r="G41" i="5" s="1"/>
  <c r="B42" i="5"/>
  <c r="H41" i="5" l="1"/>
  <c r="I41" i="5" s="1"/>
  <c r="J41" i="5" s="1"/>
  <c r="C20" i="11"/>
  <c r="J20" i="11" s="1"/>
  <c r="K20" i="11" s="1"/>
  <c r="L20" i="11" s="1"/>
  <c r="F41" i="8"/>
  <c r="G41" i="8" s="1"/>
  <c r="H41" i="8" s="1"/>
  <c r="I41" i="8" s="1"/>
  <c r="J41" i="8" s="1"/>
  <c r="B42" i="8"/>
  <c r="F42" i="5"/>
  <c r="G42" i="5" s="1"/>
  <c r="B43" i="5"/>
  <c r="H42" i="5" l="1"/>
  <c r="I42" i="5" s="1"/>
  <c r="J42" i="5" s="1"/>
  <c r="C21" i="11"/>
  <c r="J21" i="11" s="1"/>
  <c r="K21" i="11" s="1"/>
  <c r="L21" i="11" s="1"/>
  <c r="F43" i="5"/>
  <c r="G43" i="5" s="1"/>
  <c r="B44" i="5"/>
  <c r="C3" i="4"/>
  <c r="F42" i="8"/>
  <c r="G42" i="8" s="1"/>
  <c r="H42" i="8" s="1"/>
  <c r="I42" i="8" s="1"/>
  <c r="J42" i="8" s="1"/>
  <c r="B43" i="8"/>
  <c r="B20" i="13" l="1"/>
  <c r="J16" i="13"/>
  <c r="C49" i="4"/>
  <c r="C61" i="4" s="1"/>
  <c r="D46" i="4"/>
  <c r="D58" i="4" s="1"/>
  <c r="C50" i="4"/>
  <c r="C62" i="4" s="1"/>
  <c r="B23" i="13"/>
  <c r="B20" i="9"/>
  <c r="H43" i="5"/>
  <c r="I43" i="5" s="1"/>
  <c r="B33" i="13" s="1"/>
  <c r="C22" i="11"/>
  <c r="J22" i="11" s="1"/>
  <c r="K22" i="11" s="1"/>
  <c r="L22" i="11" s="1"/>
  <c r="F44" i="5"/>
  <c r="G44" i="5" s="1"/>
  <c r="B45" i="5"/>
  <c r="F43" i="8"/>
  <c r="G43" i="8" s="1"/>
  <c r="H43" i="8" s="1"/>
  <c r="I43" i="8" s="1"/>
  <c r="J43" i="8" s="1"/>
  <c r="B44" i="8"/>
  <c r="G46" i="4"/>
  <c r="G58" i="4" s="1"/>
  <c r="J50" i="4"/>
  <c r="J62" i="4" s="1"/>
  <c r="K48" i="4"/>
  <c r="K60" i="4" s="1"/>
  <c r="K50" i="4"/>
  <c r="K62" i="4" s="1"/>
  <c r="J43" i="4"/>
  <c r="J55" i="4" s="1"/>
  <c r="K43" i="4"/>
  <c r="K55" i="4" s="1"/>
  <c r="I47" i="4"/>
  <c r="I59" i="4" s="1"/>
  <c r="J45" i="4"/>
  <c r="J57" i="4" s="1"/>
  <c r="H47" i="4"/>
  <c r="H59" i="4" s="1"/>
  <c r="J48" i="4"/>
  <c r="J60" i="4" s="1"/>
  <c r="J44" i="4"/>
  <c r="J56" i="4" s="1"/>
  <c r="G47" i="4"/>
  <c r="G59" i="4" s="1"/>
  <c r="D50" i="4"/>
  <c r="D62" i="4" s="1"/>
  <c r="G43" i="4"/>
  <c r="G55" i="4" s="1"/>
  <c r="E47" i="4"/>
  <c r="E59" i="4" s="1"/>
  <c r="F48" i="4"/>
  <c r="F60" i="4" s="1"/>
  <c r="H44" i="4"/>
  <c r="H56" i="4" s="1"/>
  <c r="I45" i="4"/>
  <c r="I57" i="4" s="1"/>
  <c r="E44" i="4"/>
  <c r="E56" i="4" s="1"/>
  <c r="H48" i="4"/>
  <c r="H60" i="4" s="1"/>
  <c r="F44" i="4"/>
  <c r="F56" i="4" s="1"/>
  <c r="G50" i="4"/>
  <c r="G62" i="4" s="1"/>
  <c r="F47" i="4"/>
  <c r="F59" i="4" s="1"/>
  <c r="K46" i="4"/>
  <c r="K58" i="4" s="1"/>
  <c r="E45" i="4"/>
  <c r="E57" i="4" s="1"/>
  <c r="F50" i="4"/>
  <c r="F62" i="4" s="1"/>
  <c r="E50" i="4"/>
  <c r="E62" i="4" s="1"/>
  <c r="J46" i="4"/>
  <c r="J58" i="4" s="1"/>
  <c r="I46" i="4"/>
  <c r="I58" i="4" s="1"/>
  <c r="K49" i="4"/>
  <c r="K61" i="4" s="1"/>
  <c r="E48" i="4"/>
  <c r="E60" i="4" s="1"/>
  <c r="D47" i="4"/>
  <c r="D59" i="4" s="1"/>
  <c r="J49" i="4"/>
  <c r="J61" i="4" s="1"/>
  <c r="G45" i="4"/>
  <c r="G57" i="4" s="1"/>
  <c r="H46" i="4"/>
  <c r="H58" i="4" s="1"/>
  <c r="I50" i="4"/>
  <c r="I62" i="4" s="1"/>
  <c r="G42" i="4"/>
  <c r="G54" i="4" s="1"/>
  <c r="I42" i="4"/>
  <c r="I54" i="4" s="1"/>
  <c r="H43" i="4"/>
  <c r="H55" i="4" s="1"/>
  <c r="I44" i="4"/>
  <c r="I56" i="4" s="1"/>
  <c r="G44" i="4"/>
  <c r="G56" i="4" s="1"/>
  <c r="K44" i="4"/>
  <c r="K56" i="4" s="1"/>
  <c r="H42" i="4"/>
  <c r="H54" i="4" s="1"/>
  <c r="K45" i="4"/>
  <c r="K57" i="4" s="1"/>
  <c r="E49" i="4"/>
  <c r="E61" i="4" s="1"/>
  <c r="D49" i="4"/>
  <c r="D61" i="4" s="1"/>
  <c r="H45" i="4"/>
  <c r="H57" i="4" s="1"/>
  <c r="F45" i="4"/>
  <c r="F57" i="4" s="1"/>
  <c r="K47" i="4"/>
  <c r="K59" i="4" s="1"/>
  <c r="E43" i="4"/>
  <c r="E55" i="4" s="1"/>
  <c r="D48" i="4"/>
  <c r="D60" i="4" s="1"/>
  <c r="K42" i="4"/>
  <c r="K54" i="4" s="1"/>
  <c r="F46" i="4"/>
  <c r="F58" i="4" s="1"/>
  <c r="H49" i="4"/>
  <c r="H61" i="4" s="1"/>
  <c r="J42" i="4"/>
  <c r="J54" i="4" s="1"/>
  <c r="F49" i="4"/>
  <c r="F61" i="4" s="1"/>
  <c r="I43" i="4"/>
  <c r="I55" i="4" s="1"/>
  <c r="H50" i="4"/>
  <c r="H62" i="4" s="1"/>
  <c r="G48" i="4"/>
  <c r="G60" i="4" s="1"/>
  <c r="G49" i="4"/>
  <c r="G61" i="4" s="1"/>
  <c r="I48" i="4"/>
  <c r="I60" i="4" s="1"/>
  <c r="J47" i="4"/>
  <c r="J59" i="4" s="1"/>
  <c r="F43" i="4"/>
  <c r="F55" i="4" s="1"/>
  <c r="F42" i="4"/>
  <c r="F54" i="4" s="1"/>
  <c r="E46" i="4"/>
  <c r="E58" i="4" s="1"/>
  <c r="I49" i="4"/>
  <c r="I61" i="4" s="1"/>
  <c r="E20" i="13" l="1"/>
  <c r="J51" i="13" s="1"/>
  <c r="J52" i="13" s="1"/>
  <c r="P56" i="13" s="1"/>
  <c r="H16" i="13"/>
  <c r="I23" i="13"/>
  <c r="E23" i="13"/>
  <c r="B45" i="13"/>
  <c r="B24" i="13"/>
  <c r="B25" i="13" s="1"/>
  <c r="B45" i="8"/>
  <c r="F44" i="8"/>
  <c r="G44" i="8" s="1"/>
  <c r="H44" i="8" s="1"/>
  <c r="I44" i="8" s="1"/>
  <c r="J44" i="8" s="1"/>
  <c r="F45" i="5"/>
  <c r="G45" i="5" s="1"/>
  <c r="B46" i="5"/>
  <c r="C23" i="11"/>
  <c r="J23" i="11" s="1"/>
  <c r="K23" i="11" s="1"/>
  <c r="L23" i="11" s="1"/>
  <c r="H44" i="5"/>
  <c r="I44" i="5" s="1"/>
  <c r="J44" i="5" s="1"/>
  <c r="B30" i="9"/>
  <c r="J43" i="5"/>
  <c r="B28" i="2" s="1"/>
  <c r="B30" i="2" s="1"/>
  <c r="B23" i="9"/>
  <c r="E20" i="9"/>
  <c r="B33" i="2" l="1"/>
  <c r="B35" i="2"/>
  <c r="I24" i="13"/>
  <c r="N13" i="2"/>
  <c r="B27" i="13"/>
  <c r="P59" i="13" s="1"/>
  <c r="P63" i="13" s="1"/>
  <c r="B34" i="13"/>
  <c r="J46" i="13"/>
  <c r="P55" i="13" s="1"/>
  <c r="P57" i="13" s="1"/>
  <c r="H45" i="5"/>
  <c r="I45" i="5" s="1"/>
  <c r="J45" i="5" s="1"/>
  <c r="C24" i="11"/>
  <c r="J24" i="11" s="1"/>
  <c r="K24" i="11" s="1"/>
  <c r="L24" i="11" s="1"/>
  <c r="B46" i="8"/>
  <c r="F45" i="8"/>
  <c r="G45" i="8" s="1"/>
  <c r="H45" i="8" s="1"/>
  <c r="I45" i="8" s="1"/>
  <c r="J45" i="8" s="1"/>
  <c r="E23" i="9"/>
  <c r="B42" i="9"/>
  <c r="A17" i="12" s="1"/>
  <c r="B24" i="9"/>
  <c r="B31" i="9"/>
  <c r="F46" i="5"/>
  <c r="G46" i="5" s="1"/>
  <c r="B47" i="5"/>
  <c r="P65" i="13" l="1"/>
  <c r="B32" i="2"/>
  <c r="H46" i="5"/>
  <c r="I46" i="5" s="1"/>
  <c r="J46" i="5" s="1"/>
  <c r="C25" i="11"/>
  <c r="J25" i="11" s="1"/>
  <c r="K25" i="11" s="1"/>
  <c r="L25" i="11" s="1"/>
  <c r="B36" i="2"/>
  <c r="B37" i="2" s="1"/>
  <c r="B39" i="2" s="1"/>
  <c r="F46" i="8"/>
  <c r="G46" i="8" s="1"/>
  <c r="H46" i="8" s="1"/>
  <c r="I46" i="8" s="1"/>
  <c r="J46" i="8" s="1"/>
  <c r="B47" i="8"/>
  <c r="F47" i="5"/>
  <c r="G47" i="5" s="1"/>
  <c r="B48" i="5"/>
  <c r="C26" i="11" l="1"/>
  <c r="J26" i="11" s="1"/>
  <c r="K26" i="11" s="1"/>
  <c r="L26" i="11" s="1"/>
  <c r="H47" i="5"/>
  <c r="I47" i="5" s="1"/>
  <c r="J47" i="5" s="1"/>
  <c r="F47" i="8"/>
  <c r="G47" i="8" s="1"/>
  <c r="H47" i="8" s="1"/>
  <c r="I47" i="8" s="1"/>
  <c r="J47" i="8" s="1"/>
  <c r="B48" i="8"/>
  <c r="F48" i="5"/>
  <c r="G48" i="5" s="1"/>
  <c r="B49" i="5"/>
  <c r="C27" i="11" l="1"/>
  <c r="J27" i="11" s="1"/>
  <c r="K27" i="11" s="1"/>
  <c r="L27" i="11" s="1"/>
  <c r="H48" i="5"/>
  <c r="I48" i="5" s="1"/>
  <c r="J48" i="5" s="1"/>
  <c r="F49" i="5"/>
  <c r="G49" i="5" s="1"/>
  <c r="B50" i="5"/>
  <c r="F48" i="8"/>
  <c r="G48" i="8" s="1"/>
  <c r="H48" i="8" s="1"/>
  <c r="I48" i="8" s="1"/>
  <c r="J48" i="8" s="1"/>
  <c r="B49" i="8"/>
  <c r="H49" i="5" l="1"/>
  <c r="I49" i="5" s="1"/>
  <c r="J49" i="5" s="1"/>
  <c r="C28" i="11"/>
  <c r="J28" i="11" s="1"/>
  <c r="K28" i="11" s="1"/>
  <c r="L28" i="11" s="1"/>
  <c r="B50" i="8"/>
  <c r="F49" i="8"/>
  <c r="G49" i="8" s="1"/>
  <c r="H49" i="8" s="1"/>
  <c r="I49" i="8" s="1"/>
  <c r="J49" i="8" s="1"/>
  <c r="F50" i="5"/>
  <c r="G50" i="5" s="1"/>
  <c r="B51" i="5"/>
  <c r="H50" i="5" l="1"/>
  <c r="I50" i="5" s="1"/>
  <c r="J50" i="5" s="1"/>
  <c r="C29" i="11"/>
  <c r="J29" i="11" s="1"/>
  <c r="K29" i="11" s="1"/>
  <c r="L29" i="11" s="1"/>
  <c r="F51" i="5"/>
  <c r="G51" i="5" s="1"/>
  <c r="B52" i="5"/>
  <c r="F50" i="8"/>
  <c r="G50" i="8" s="1"/>
  <c r="H50" i="8" s="1"/>
  <c r="I50" i="8" s="1"/>
  <c r="J50" i="8" s="1"/>
  <c r="B51" i="8"/>
  <c r="F51" i="8" l="1"/>
  <c r="G51" i="8" s="1"/>
  <c r="H51" i="8" s="1"/>
  <c r="I51" i="8" s="1"/>
  <c r="J51" i="8" s="1"/>
  <c r="B52" i="8"/>
  <c r="B53" i="5"/>
  <c r="F52" i="5"/>
  <c r="G52" i="5" s="1"/>
  <c r="H51" i="5"/>
  <c r="I51" i="5" s="1"/>
  <c r="J51" i="5" s="1"/>
  <c r="C30" i="11"/>
  <c r="J30" i="11" s="1"/>
  <c r="K30" i="11" s="1"/>
  <c r="L30" i="11" s="1"/>
  <c r="H52" i="5" l="1"/>
  <c r="I52" i="5" s="1"/>
  <c r="J52" i="5" s="1"/>
  <c r="C31" i="11"/>
  <c r="J31" i="11" s="1"/>
  <c r="K31" i="11" s="1"/>
  <c r="L31" i="11" s="1"/>
  <c r="F53" i="5"/>
  <c r="G53" i="5" s="1"/>
  <c r="B54" i="5"/>
  <c r="B53" i="8"/>
  <c r="F52" i="8"/>
  <c r="G52" i="8" s="1"/>
  <c r="H52" i="8" s="1"/>
  <c r="I52" i="8" s="1"/>
  <c r="J52" i="8" s="1"/>
  <c r="F54" i="5" l="1"/>
  <c r="G54" i="5" s="1"/>
  <c r="B55" i="5"/>
  <c r="C32" i="11"/>
  <c r="J32" i="11" s="1"/>
  <c r="K32" i="11" s="1"/>
  <c r="L32" i="11" s="1"/>
  <c r="H53" i="5"/>
  <c r="I53" i="5" s="1"/>
  <c r="J53" i="5" s="1"/>
  <c r="F53" i="8"/>
  <c r="G53" i="8" s="1"/>
  <c r="H53" i="8" s="1"/>
  <c r="I53" i="8" s="1"/>
  <c r="J53" i="8" s="1"/>
  <c r="B54" i="8"/>
  <c r="H54" i="5" l="1"/>
  <c r="I54" i="5" s="1"/>
  <c r="J54" i="5" s="1"/>
  <c r="C33" i="11"/>
  <c r="J33" i="11" s="1"/>
  <c r="K33" i="11" s="1"/>
  <c r="L33" i="11" s="1"/>
  <c r="F55" i="5"/>
  <c r="G55" i="5" s="1"/>
  <c r="B56" i="5"/>
  <c r="F54" i="8"/>
  <c r="G54" i="8" s="1"/>
  <c r="H54" i="8" s="1"/>
  <c r="I54" i="8" s="1"/>
  <c r="J54" i="8" s="1"/>
  <c r="B55" i="8"/>
  <c r="H55" i="5" l="1"/>
  <c r="I55" i="5" s="1"/>
  <c r="J55" i="5" s="1"/>
  <c r="C34" i="11"/>
  <c r="J34" i="11" s="1"/>
  <c r="K34" i="11" s="1"/>
  <c r="L34" i="11" s="1"/>
  <c r="B56" i="8"/>
  <c r="F55" i="8"/>
  <c r="G55" i="8" s="1"/>
  <c r="H55" i="8" s="1"/>
  <c r="I55" i="8" s="1"/>
  <c r="J55" i="8" s="1"/>
  <c r="F56" i="5"/>
  <c r="G56" i="5" s="1"/>
  <c r="C35" i="11" l="1"/>
  <c r="J35" i="11" s="1"/>
  <c r="K35" i="11" s="1"/>
  <c r="L35" i="11" s="1"/>
  <c r="H56" i="5"/>
  <c r="I56" i="5" s="1"/>
  <c r="J56" i="5" s="1"/>
  <c r="F56" i="8"/>
  <c r="G56" i="8" s="1"/>
  <c r="H56" i="8" s="1"/>
  <c r="I56" i="8" s="1"/>
  <c r="J56" i="8" s="1"/>
</calcChain>
</file>

<file path=xl/comments1.xml><?xml version="1.0" encoding="utf-8"?>
<comments xmlns="http://schemas.openxmlformats.org/spreadsheetml/2006/main">
  <authors>
    <author>The University of Adelaide , A</author>
  </authors>
  <commentList>
    <comment ref="J27" authorId="0" shapeId="0">
      <text>
        <r>
          <rPr>
            <b/>
            <sz val="8"/>
            <color indexed="81"/>
            <rFont val="Tahoma"/>
            <family val="2"/>
          </rPr>
          <t>The University of Adelaide , A:</t>
        </r>
        <r>
          <rPr>
            <sz val="8"/>
            <color indexed="81"/>
            <rFont val="Tahoma"/>
            <family val="2"/>
          </rPr>
          <t xml:space="preserve">
Guess!</t>
        </r>
      </text>
    </comment>
  </commentList>
</comments>
</file>

<file path=xl/sharedStrings.xml><?xml version="1.0" encoding="utf-8"?>
<sst xmlns="http://schemas.openxmlformats.org/spreadsheetml/2006/main" count="755" uniqueCount="385">
  <si>
    <t>Instructions</t>
  </si>
  <si>
    <t>Beef</t>
  </si>
  <si>
    <t>Hill, DT. Trans ASAE v25 pp226 (1982)</t>
  </si>
  <si>
    <t>Dairy</t>
  </si>
  <si>
    <t>This model is based on the paper by Chen</t>
  </si>
  <si>
    <t>Municipal Refuse</t>
  </si>
  <si>
    <t>Chen Y.R.&amp; Hashimoto A.G. Biotech &amp; Bioeng Symp 8 pp269 (1978)</t>
  </si>
  <si>
    <t>Chen, Y.R. "Kinetic Analysis of Anaerobic Digestion of Pig Manure and its Design Implications" Ag Wastes 8 (1983) 65-81</t>
  </si>
  <si>
    <t>Piggery</t>
  </si>
  <si>
    <t>Sewerage Sludge</t>
  </si>
  <si>
    <t>The Costing sheet has two graphs, one showing the variation of  Gas Cost and Nett Gas Production with temperature at three retention times and the other showing how Digester Cost and Gross Gas Production vary with temperature, at three retention times.</t>
  </si>
  <si>
    <t>NOTE: Gross Gas Production is  proportional to VS removed, ie. Maximum Gas Production is also Maximum VS Removed.</t>
  </si>
  <si>
    <t>Anaerobic Digestion Model</t>
  </si>
  <si>
    <t>Inputs</t>
  </si>
  <si>
    <t>Vltile Slds</t>
  </si>
  <si>
    <r>
      <t>(kgm</t>
    </r>
    <r>
      <rPr>
        <vertAlign val="superscript"/>
        <sz val="10"/>
        <rFont val="Arial"/>
        <family val="2"/>
      </rPr>
      <t>-3</t>
    </r>
    <r>
      <rPr>
        <sz val="10"/>
        <rFont val="Arial"/>
        <family val="2"/>
      </rPr>
      <t>)</t>
    </r>
  </si>
  <si>
    <t>Temp.</t>
  </si>
  <si>
    <r>
      <t>(</t>
    </r>
    <r>
      <rPr>
        <vertAlign val="superscript"/>
        <sz val="10"/>
        <rFont val="Arial"/>
        <family val="2"/>
      </rPr>
      <t>O</t>
    </r>
    <r>
      <rPr>
        <sz val="10"/>
        <rFont val="Arial"/>
        <family val="2"/>
      </rPr>
      <t>C)</t>
    </r>
  </si>
  <si>
    <t>Ret. Time</t>
  </si>
  <si>
    <t>(days)</t>
  </si>
  <si>
    <t>MidVal</t>
  </si>
  <si>
    <t>Step</t>
  </si>
  <si>
    <t>Bo =</t>
  </si>
  <si>
    <t xml:space="preserve">For </t>
  </si>
  <si>
    <t>Chen, Y.R. "Kinetic Analysis of Anaerobic Digestion of Pig Manure and its Design Implications"</t>
  </si>
  <si>
    <t xml:space="preserve"> Ag Wastes 8 (1983) 65-81</t>
  </si>
  <si>
    <t>Gwth Rte</t>
  </si>
  <si>
    <t>K</t>
  </si>
  <si>
    <t>Methane</t>
  </si>
  <si>
    <r>
      <t>(days</t>
    </r>
    <r>
      <rPr>
        <vertAlign val="superscript"/>
        <sz val="10"/>
        <rFont val="Arial"/>
        <family val="2"/>
      </rPr>
      <t>-1</t>
    </r>
    <r>
      <rPr>
        <sz val="10"/>
        <rFont val="Arial"/>
        <family val="2"/>
      </rPr>
      <t>)</t>
    </r>
  </si>
  <si>
    <r>
      <t>m</t>
    </r>
    <r>
      <rPr>
        <vertAlign val="superscript"/>
        <sz val="10"/>
        <rFont val="Arial"/>
        <family val="2"/>
      </rPr>
      <t>3</t>
    </r>
    <r>
      <rPr>
        <sz val="10"/>
        <rFont val="Arial"/>
        <family val="2"/>
      </rPr>
      <t>/m</t>
    </r>
    <r>
      <rPr>
        <vertAlign val="superscript"/>
        <sz val="10"/>
        <rFont val="Arial"/>
        <family val="2"/>
      </rPr>
      <t>3</t>
    </r>
    <r>
      <rPr>
        <sz val="10"/>
        <rFont val="Arial"/>
        <family val="2"/>
      </rPr>
      <t>v</t>
    </r>
    <r>
      <rPr>
        <sz val="10"/>
        <rFont val="Arial"/>
        <family val="2"/>
      </rPr>
      <t>day</t>
    </r>
  </si>
  <si>
    <r>
      <t>m</t>
    </r>
    <r>
      <rPr>
        <vertAlign val="superscript"/>
        <sz val="10"/>
        <rFont val="Arial"/>
        <family val="2"/>
      </rPr>
      <t>3</t>
    </r>
    <r>
      <rPr>
        <sz val="10"/>
        <rFont val="Arial"/>
        <family val="2"/>
      </rPr>
      <t>/m</t>
    </r>
    <r>
      <rPr>
        <vertAlign val="superscript"/>
        <sz val="10"/>
        <rFont val="Arial"/>
        <family val="2"/>
      </rPr>
      <t>3</t>
    </r>
    <r>
      <rPr>
        <sz val="10"/>
        <rFont val="Arial"/>
        <family val="2"/>
      </rPr>
      <t>i</t>
    </r>
    <r>
      <rPr>
        <sz val="10"/>
        <rFont val="Arial"/>
        <family val="2"/>
      </rPr>
      <t>day</t>
    </r>
  </si>
  <si>
    <t>Gas</t>
  </si>
  <si>
    <r>
      <t>m</t>
    </r>
    <r>
      <rPr>
        <vertAlign val="superscript"/>
        <sz val="10"/>
        <rFont val="Arial"/>
        <family val="2"/>
      </rPr>
      <t>3</t>
    </r>
    <r>
      <rPr>
        <sz val="10"/>
        <rFont val="Arial"/>
        <family val="2"/>
      </rPr>
      <t>/m</t>
    </r>
    <r>
      <rPr>
        <vertAlign val="superscript"/>
        <sz val="10"/>
        <rFont val="Arial"/>
        <family val="2"/>
      </rPr>
      <t>3</t>
    </r>
    <r>
      <rPr>
        <sz val="10"/>
        <rFont val="Arial"/>
        <family val="2"/>
      </rPr>
      <t>day</t>
    </r>
  </si>
  <si>
    <t>Effluent Volume per Day</t>
  </si>
  <si>
    <r>
      <t>(m</t>
    </r>
    <r>
      <rPr>
        <vertAlign val="superscript"/>
        <sz val="11"/>
        <rFont val="Arial"/>
        <family val="2"/>
      </rPr>
      <t>3</t>
    </r>
    <r>
      <rPr>
        <sz val="11"/>
        <rFont val="Arial"/>
        <family val="2"/>
      </rPr>
      <t>)</t>
    </r>
  </si>
  <si>
    <t>Digester Volume</t>
  </si>
  <si>
    <t>Digester Height</t>
  </si>
  <si>
    <t>(m)</t>
  </si>
  <si>
    <t>Digester Diameter</t>
  </si>
  <si>
    <t>Ambient Temperature (Air)</t>
  </si>
  <si>
    <r>
      <t>(</t>
    </r>
    <r>
      <rPr>
        <vertAlign val="superscript"/>
        <sz val="11"/>
        <rFont val="Arial"/>
        <family val="2"/>
      </rPr>
      <t>o</t>
    </r>
    <r>
      <rPr>
        <sz val="11"/>
        <rFont val="Arial"/>
        <family val="2"/>
      </rPr>
      <t>C)</t>
    </r>
  </si>
  <si>
    <t>Ambient Temperature (Effluent)</t>
  </si>
  <si>
    <t>Insulation Thickness</t>
  </si>
  <si>
    <t>(mm)</t>
  </si>
  <si>
    <t>Heater Efficiency</t>
  </si>
  <si>
    <t>(%)</t>
  </si>
  <si>
    <t>Thermal Conductivity of Insulation</t>
  </si>
  <si>
    <r>
      <t>Wm</t>
    </r>
    <r>
      <rPr>
        <vertAlign val="superscript"/>
        <sz val="11"/>
        <rFont val="Arial"/>
        <family val="2"/>
      </rPr>
      <t>-1o</t>
    </r>
    <r>
      <rPr>
        <sz val="11"/>
        <rFont val="Arial"/>
        <family val="2"/>
      </rPr>
      <t>C</t>
    </r>
    <r>
      <rPr>
        <vertAlign val="superscript"/>
        <sz val="11"/>
        <rFont val="Arial"/>
        <family val="2"/>
      </rPr>
      <t>-1</t>
    </r>
  </si>
  <si>
    <t>Calorific Value of Methane</t>
  </si>
  <si>
    <r>
      <t>(MJm</t>
    </r>
    <r>
      <rPr>
        <vertAlign val="superscript"/>
        <sz val="11"/>
        <rFont val="Arial"/>
        <family val="2"/>
      </rPr>
      <t>-3</t>
    </r>
    <r>
      <rPr>
        <sz val="11"/>
        <rFont val="Arial"/>
        <family val="2"/>
      </rPr>
      <t>)</t>
    </r>
  </si>
  <si>
    <t>Specific Heat of Effluent</t>
  </si>
  <si>
    <r>
      <t>(kJkg</t>
    </r>
    <r>
      <rPr>
        <vertAlign val="superscript"/>
        <sz val="11"/>
        <rFont val="Arial"/>
        <family val="2"/>
      </rPr>
      <t>-1o</t>
    </r>
    <r>
      <rPr>
        <sz val="11"/>
        <rFont val="Arial"/>
        <family val="2"/>
      </rPr>
      <t>C</t>
    </r>
    <r>
      <rPr>
        <vertAlign val="superscript"/>
        <sz val="11"/>
        <rFont val="Arial"/>
        <family val="2"/>
      </rPr>
      <t>-1</t>
    </r>
    <r>
      <rPr>
        <sz val="11"/>
        <rFont val="Arial"/>
        <family val="2"/>
      </rPr>
      <t>)</t>
    </r>
  </si>
  <si>
    <t>Outputs</t>
  </si>
  <si>
    <r>
      <t>(m</t>
    </r>
    <r>
      <rPr>
        <vertAlign val="superscript"/>
        <sz val="11"/>
        <rFont val="Arial"/>
        <family val="2"/>
      </rPr>
      <t>3</t>
    </r>
    <r>
      <rPr>
        <sz val="11"/>
        <rFont val="Arial"/>
        <family val="2"/>
      </rPr>
      <t>day</t>
    </r>
    <r>
      <rPr>
        <vertAlign val="superscript"/>
        <sz val="11"/>
        <rFont val="Arial"/>
        <family val="2"/>
      </rPr>
      <t>-1</t>
    </r>
    <r>
      <rPr>
        <sz val="11"/>
        <rFont val="Arial"/>
        <family val="2"/>
      </rPr>
      <t>)</t>
    </r>
  </si>
  <si>
    <t>Power to Heat Effluent</t>
  </si>
  <si>
    <t>(kW)</t>
  </si>
  <si>
    <t>Power Lost through Walls</t>
  </si>
  <si>
    <t>Nett Power</t>
  </si>
  <si>
    <t>Operating Parameters</t>
  </si>
  <si>
    <t>Temperature</t>
  </si>
  <si>
    <t>Retention Time</t>
  </si>
  <si>
    <t>Costing</t>
  </si>
  <si>
    <t>(Oct 1997)</t>
  </si>
  <si>
    <t>Actual</t>
  </si>
  <si>
    <t>Digester                                                  (</t>
  </si>
  <si>
    <r>
      <t>per m</t>
    </r>
    <r>
      <rPr>
        <vertAlign val="superscript"/>
        <sz val="11"/>
        <rFont val="Arial"/>
        <family val="2"/>
      </rPr>
      <t>3</t>
    </r>
    <r>
      <rPr>
        <sz val="11"/>
        <rFont val="Arial"/>
        <family val="2"/>
      </rPr>
      <t>)</t>
    </r>
  </si>
  <si>
    <t>Heater                                                     (</t>
  </si>
  <si>
    <t>per kW)</t>
  </si>
  <si>
    <t>Insulation/Cladding                                 (</t>
  </si>
  <si>
    <r>
      <t>per m</t>
    </r>
    <r>
      <rPr>
        <vertAlign val="superscript"/>
        <sz val="11"/>
        <rFont val="Arial"/>
        <family val="2"/>
      </rPr>
      <t>2</t>
    </r>
    <r>
      <rPr>
        <sz val="11"/>
        <rFont val="Arial"/>
        <family val="2"/>
      </rPr>
      <t>)</t>
    </r>
  </si>
  <si>
    <t>Equipment                                              (</t>
  </si>
  <si>
    <t>TOTAL</t>
  </si>
  <si>
    <t>Expected Life of Digester</t>
  </si>
  <si>
    <t>(years)</t>
  </si>
  <si>
    <t>Cost of Methane</t>
  </si>
  <si>
    <r>
      <t>m</t>
    </r>
    <r>
      <rPr>
        <b/>
        <vertAlign val="superscript"/>
        <sz val="11"/>
        <rFont val="Arial"/>
        <family val="2"/>
      </rPr>
      <t>-3</t>
    </r>
  </si>
  <si>
    <t>Inputs taken from Digester  and Temp&amp;RT sheets</t>
  </si>
  <si>
    <t>VS=</t>
  </si>
  <si>
    <r>
      <t>kgl</t>
    </r>
    <r>
      <rPr>
        <vertAlign val="superscript"/>
        <sz val="10"/>
        <rFont val="Arial"/>
        <family val="2"/>
      </rPr>
      <t>-1</t>
    </r>
  </si>
  <si>
    <t>Input =</t>
  </si>
  <si>
    <r>
      <t>m</t>
    </r>
    <r>
      <rPr>
        <vertAlign val="superscript"/>
        <sz val="10"/>
        <rFont val="Arial"/>
        <family val="2"/>
      </rPr>
      <t>3</t>
    </r>
    <r>
      <rPr>
        <sz val="10"/>
        <rFont val="Arial"/>
        <family val="2"/>
      </rPr>
      <t>/day</t>
    </r>
  </si>
  <si>
    <r>
      <t>$/m</t>
    </r>
    <r>
      <rPr>
        <vertAlign val="superscript"/>
        <sz val="10"/>
        <rFont val="Arial"/>
        <family val="2"/>
      </rPr>
      <t>3</t>
    </r>
    <r>
      <rPr>
        <sz val="10"/>
        <rFont val="Arial"/>
        <family val="2"/>
      </rPr>
      <t>=</t>
    </r>
  </si>
  <si>
    <r>
      <t>$/m</t>
    </r>
    <r>
      <rPr>
        <vertAlign val="superscript"/>
        <sz val="10"/>
        <rFont val="Arial"/>
        <family val="2"/>
      </rPr>
      <t>2</t>
    </r>
    <r>
      <rPr>
        <sz val="10"/>
        <rFont val="Arial"/>
        <family val="2"/>
      </rPr>
      <t>=</t>
    </r>
  </si>
  <si>
    <t>$/kW=</t>
  </si>
  <si>
    <t>(tank*2)</t>
  </si>
  <si>
    <t>Diameter</t>
  </si>
  <si>
    <t>Height</t>
  </si>
  <si>
    <t>Tank</t>
  </si>
  <si>
    <t xml:space="preserve">Ins/Cldg </t>
  </si>
  <si>
    <t>Heating</t>
  </si>
  <si>
    <t>Gross Gas</t>
  </si>
  <si>
    <t>Nett Gas</t>
  </si>
  <si>
    <t>Gas Cost</t>
  </si>
  <si>
    <t>($)</t>
  </si>
  <si>
    <r>
      <t>(m</t>
    </r>
    <r>
      <rPr>
        <vertAlign val="superscript"/>
        <sz val="10"/>
        <rFont val="Arial"/>
        <family val="2"/>
      </rPr>
      <t>3</t>
    </r>
    <r>
      <rPr>
        <sz val="10"/>
        <rFont val="Arial"/>
        <family val="2"/>
      </rPr>
      <t>)</t>
    </r>
  </si>
  <si>
    <r>
      <t>($/m</t>
    </r>
    <r>
      <rPr>
        <vertAlign val="superscript"/>
        <sz val="10"/>
        <rFont val="Arial"/>
        <family val="2"/>
      </rPr>
      <t>3)</t>
    </r>
  </si>
  <si>
    <t>Energy Costs</t>
  </si>
  <si>
    <t>Electricity</t>
  </si>
  <si>
    <t>Domestic</t>
  </si>
  <si>
    <t>c/kWHr</t>
  </si>
  <si>
    <t xml:space="preserve"> kWHr in</t>
  </si>
  <si>
    <t>days</t>
  </si>
  <si>
    <t>1 kWHr =</t>
  </si>
  <si>
    <t>Joules</t>
  </si>
  <si>
    <t>c/MJ</t>
  </si>
  <si>
    <t>MJm-3</t>
  </si>
  <si>
    <r>
      <t xml:space="preserve"> m</t>
    </r>
    <r>
      <rPr>
        <vertAlign val="superscript"/>
        <sz val="10"/>
        <rFont val="Arial"/>
        <family val="2"/>
      </rPr>
      <t>3</t>
    </r>
    <r>
      <rPr>
        <sz val="10"/>
        <rFont val="Arial"/>
        <family val="2"/>
      </rPr>
      <t xml:space="preserve"> in</t>
    </r>
  </si>
  <si>
    <t>Biogas</t>
  </si>
  <si>
    <r>
      <t>(kgm</t>
    </r>
    <r>
      <rPr>
        <vertAlign val="superscript"/>
        <sz val="11"/>
        <rFont val="Arial"/>
        <family val="2"/>
      </rPr>
      <t>-3</t>
    </r>
    <r>
      <rPr>
        <sz val="11"/>
        <rFont val="Arial"/>
        <family val="2"/>
      </rPr>
      <t>)</t>
    </r>
  </si>
  <si>
    <t>"Volatile Solids" is a measure of the biodegradability of the waste, "Temperature" is the operating temperature of the digester and "Retention Time" is how long (on average) waste is in the digester.</t>
  </si>
  <si>
    <t>and looks at the effect of input volatile solids, operating temperature and retention  time on the digestion of different waste types in a "Continuous Flow Stirred Tank" digester.</t>
  </si>
  <si>
    <t>(kg)</t>
  </si>
  <si>
    <t>Mass of VS added per day</t>
  </si>
  <si>
    <t>METHANE CALCULATOR</t>
  </si>
  <si>
    <t>See Table Right</t>
  </si>
  <si>
    <t>Waste</t>
  </si>
  <si>
    <t>Total</t>
  </si>
  <si>
    <t>TS</t>
  </si>
  <si>
    <t>VS</t>
  </si>
  <si>
    <t>Output</t>
  </si>
  <si>
    <t>kg (per day)</t>
  </si>
  <si>
    <t>(from ASEA Standard D384.1 DEC93)</t>
  </si>
  <si>
    <t>No.</t>
  </si>
  <si>
    <t>N</t>
  </si>
  <si>
    <t>P</t>
  </si>
  <si>
    <t>TS/Tot</t>
  </si>
  <si>
    <t>VS/TS</t>
  </si>
  <si>
    <t>Veal</t>
  </si>
  <si>
    <t>Pig</t>
  </si>
  <si>
    <t>Sheep</t>
  </si>
  <si>
    <t>Goat</t>
  </si>
  <si>
    <t>Conv'n Eff.</t>
  </si>
  <si>
    <t>% VS destroyed</t>
  </si>
  <si>
    <t>Horse</t>
  </si>
  <si>
    <t>CH4/kgVS</t>
  </si>
  <si>
    <t>Layer</t>
  </si>
  <si>
    <t>CH4</t>
  </si>
  <si>
    <t>Broiler</t>
  </si>
  <si>
    <t>% CH4</t>
  </si>
  <si>
    <t>Turkey</t>
  </si>
  <si>
    <t>Duck</t>
  </si>
  <si>
    <t>Fuel Val. (methane)</t>
  </si>
  <si>
    <t>TOTAL Energy</t>
  </si>
  <si>
    <t>MJ per day</t>
  </si>
  <si>
    <t>Vary the yellow cells</t>
  </si>
  <si>
    <t>TOTAL Power</t>
  </si>
  <si>
    <t>kW</t>
  </si>
  <si>
    <t>Can be varied if required</t>
  </si>
  <si>
    <t>Electricity Price</t>
  </si>
  <si>
    <t>c/kWhr</t>
  </si>
  <si>
    <t>Electricity Value</t>
  </si>
  <si>
    <t>$ per annum</t>
  </si>
  <si>
    <t>Digester</t>
  </si>
  <si>
    <t>Dilution Rate</t>
  </si>
  <si>
    <t>Times Manure volume(mass)</t>
  </si>
  <si>
    <t>Effluent Volume</t>
  </si>
  <si>
    <t>Volatile Solids Conc.</t>
  </si>
  <si>
    <t>Poultry (layer?)</t>
  </si>
  <si>
    <t>PLH suggestion</t>
  </si>
  <si>
    <r>
      <t>m</t>
    </r>
    <r>
      <rPr>
        <vertAlign val="superscript"/>
        <sz val="10"/>
        <rFont val="Arial"/>
        <family val="2"/>
      </rPr>
      <t xml:space="preserve">3 </t>
    </r>
    <r>
      <rPr>
        <sz val="10"/>
        <rFont val="Arial"/>
        <family val="2"/>
      </rPr>
      <t>per day</t>
    </r>
  </si>
  <si>
    <r>
      <t>MJ/m</t>
    </r>
    <r>
      <rPr>
        <vertAlign val="superscript"/>
        <sz val="10"/>
        <rFont val="Arial"/>
        <family val="2"/>
      </rPr>
      <t>3</t>
    </r>
  </si>
  <si>
    <r>
      <t>m</t>
    </r>
    <r>
      <rPr>
        <vertAlign val="superscript"/>
        <sz val="10"/>
        <rFont val="Arial"/>
        <family val="2"/>
      </rPr>
      <t>3</t>
    </r>
  </si>
  <si>
    <t>Approximate costing</t>
  </si>
  <si>
    <t>cubic metres per day</t>
  </si>
  <si>
    <t>Anaerobic Digester</t>
  </si>
  <si>
    <t>INPUTS</t>
  </si>
  <si>
    <t>Retention Time (days)</t>
  </si>
  <si>
    <t>Depth (m)</t>
  </si>
  <si>
    <t>Length/Width ratio</t>
  </si>
  <si>
    <t>OUTPUTS</t>
  </si>
  <si>
    <t>Capacity (Cubic Meters)</t>
  </si>
  <si>
    <t>Storage Width (m)</t>
  </si>
  <si>
    <t>Storage Length (m)</t>
  </si>
  <si>
    <t>Excavation Depth (m)</t>
  </si>
  <si>
    <t>Bank Height (m)</t>
  </si>
  <si>
    <t>Excavation Cost</t>
  </si>
  <si>
    <t>O/all Width (m)</t>
  </si>
  <si>
    <t>O/all Length (m)</t>
  </si>
  <si>
    <t>Liner Width (m)</t>
  </si>
  <si>
    <t>Liner length (m)</t>
  </si>
  <si>
    <t>Liner Cost</t>
  </si>
  <si>
    <t>Total Cost</t>
  </si>
  <si>
    <t>Notes</t>
  </si>
  <si>
    <t>1) Flat site assumed</t>
  </si>
  <si>
    <t>2) All banks have 2.5 m wide crest for vehicle access and stability</t>
  </si>
  <si>
    <t>3) All batters are 1:1 as the lagoons are lined</t>
  </si>
  <si>
    <t>4) For digester, the bank forms part of support for liner</t>
  </si>
  <si>
    <t>5) Digester base width is equal to depth</t>
  </si>
  <si>
    <r>
      <t>Excavation cost ($/m</t>
    </r>
    <r>
      <rPr>
        <vertAlign val="superscript"/>
        <sz val="10"/>
        <rFont val="Arial"/>
        <family val="2"/>
      </rPr>
      <t>3</t>
    </r>
    <r>
      <rPr>
        <sz val="10"/>
        <rFont val="Arial"/>
        <family val="2"/>
      </rPr>
      <t>)</t>
    </r>
  </si>
  <si>
    <r>
      <t>Liner cost ($/m</t>
    </r>
    <r>
      <rPr>
        <vertAlign val="superscript"/>
        <sz val="10"/>
        <rFont val="Arial"/>
        <family val="2"/>
      </rPr>
      <t>2</t>
    </r>
    <r>
      <rPr>
        <sz val="10"/>
        <rFont val="Arial"/>
        <family val="2"/>
      </rPr>
      <t>)</t>
    </r>
  </si>
  <si>
    <r>
      <t>Excavation Volume (m</t>
    </r>
    <r>
      <rPr>
        <vertAlign val="superscript"/>
        <sz val="10"/>
        <rFont val="Arial"/>
        <family val="2"/>
      </rPr>
      <t>3</t>
    </r>
    <r>
      <rPr>
        <sz val="10"/>
        <rFont val="Arial"/>
        <family val="2"/>
      </rPr>
      <t>)</t>
    </r>
  </si>
  <si>
    <r>
      <t>Liner Area (m</t>
    </r>
    <r>
      <rPr>
        <vertAlign val="superscript"/>
        <sz val="10"/>
        <rFont val="Arial"/>
        <family val="2"/>
      </rPr>
      <t>2</t>
    </r>
    <r>
      <rPr>
        <sz val="10"/>
        <rFont val="Arial"/>
        <family val="2"/>
      </rPr>
      <t>)</t>
    </r>
  </si>
  <si>
    <t>Source</t>
  </si>
  <si>
    <t>Exit VS</t>
  </si>
  <si>
    <t>VS Redn</t>
  </si>
  <si>
    <t>%</t>
  </si>
  <si>
    <t>Gross Methane Production</t>
  </si>
  <si>
    <t>Nett Methane Volume</t>
  </si>
  <si>
    <t>Vary the areas with yellow background, sometimes by using the dropdown lists, other values are calculated.</t>
  </si>
  <si>
    <t>Areas with green backgrounds may be changed if necessary.</t>
  </si>
  <si>
    <t>The workbook is set up so you can vary the mid value of Temperature and the step size of each main variable from the Temp&amp;RT, VS&amp;RT, Temp&amp;VS and RT&amp;Temp sheets and all the other sheets are altered automatically.</t>
  </si>
  <si>
    <t>Return to Instructions</t>
  </si>
  <si>
    <t>On the CFST sheet either the volume of effluent added per day or the digester volume (which can also be specified by height and diameter) must be entered and either height or diameter must be entered, the other values being obtained by calculation.</t>
  </si>
  <si>
    <t>Input Volatile Solids Concentration</t>
  </si>
  <si>
    <t>Output VS Concentration</t>
  </si>
  <si>
    <t>Volatile Solids reduction</t>
  </si>
  <si>
    <t>Height/Diameter Ratio</t>
  </si>
  <si>
    <t>Return to Plug Flow</t>
  </si>
  <si>
    <t>VSred'n</t>
  </si>
  <si>
    <t>The Minimum, Middle and Maximum values of each variable are used to give the "step" values for the "secondary" variable in each case, and the 'CFST' and 'Plug Flow' sheets works off the middle values.</t>
  </si>
  <si>
    <t>Data</t>
  </si>
  <si>
    <t>Value Used</t>
  </si>
  <si>
    <t>CFST Digester Design</t>
  </si>
  <si>
    <r>
      <t>CO</t>
    </r>
    <r>
      <rPr>
        <vertAlign val="subscript"/>
        <sz val="10"/>
        <rFont val="Arial"/>
        <family val="2"/>
      </rPr>
      <t>2</t>
    </r>
  </si>
  <si>
    <t>Go To WORD report</t>
  </si>
  <si>
    <t>Total Manure</t>
  </si>
  <si>
    <t>Total Solids</t>
  </si>
  <si>
    <t>Volatile Solids</t>
  </si>
  <si>
    <t>kW(% conversion efficiency =</t>
  </si>
  <si>
    <t>Blue areas are the main outputs</t>
  </si>
  <si>
    <t>Plug Flow Design</t>
  </si>
  <si>
    <t>Type</t>
  </si>
  <si>
    <t>Bo</t>
  </si>
  <si>
    <t>Most inputs are taken from the Calculator sheet, where you can vary the waste type and values of Retention Time and Volatile Solids (by changing the dilution rate).</t>
  </si>
  <si>
    <t>Specific Gas Production</t>
  </si>
  <si>
    <t>Operating</t>
  </si>
  <si>
    <t>RT v VS -&gt;</t>
  </si>
  <si>
    <t>Total Gas Production</t>
  </si>
  <si>
    <r>
      <t>o</t>
    </r>
    <r>
      <rPr>
        <b/>
        <sz val="10"/>
        <rFont val="Arial"/>
        <family val="2"/>
      </rPr>
      <t>C</t>
    </r>
  </si>
  <si>
    <t>Change Temperature</t>
  </si>
  <si>
    <t>Change VS</t>
  </si>
  <si>
    <t>Change RT</t>
  </si>
  <si>
    <t>Return to Response Surface</t>
  </si>
  <si>
    <r>
      <t>kgm</t>
    </r>
    <r>
      <rPr>
        <vertAlign val="superscript"/>
        <sz val="10"/>
        <rFont val="Arial"/>
        <family val="2"/>
      </rPr>
      <t>-3</t>
    </r>
    <r>
      <rPr>
        <sz val="10"/>
        <rFont val="Arial"/>
        <family val="2"/>
      </rPr>
      <t xml:space="preserve"> (g/litre)</t>
    </r>
  </si>
  <si>
    <t>Change Waste</t>
  </si>
  <si>
    <t>Operating Temperature</t>
  </si>
  <si>
    <r>
      <t>o</t>
    </r>
    <r>
      <rPr>
        <sz val="10"/>
        <rFont val="Arial"/>
        <family val="2"/>
      </rPr>
      <t>C</t>
    </r>
  </si>
  <si>
    <r>
      <t>(m</t>
    </r>
    <r>
      <rPr>
        <vertAlign val="superscript"/>
        <sz val="10"/>
        <rFont val="Arial"/>
        <family val="2"/>
      </rPr>
      <t>3</t>
    </r>
    <r>
      <rPr>
        <sz val="10"/>
        <rFont val="Arial"/>
        <family val="2"/>
      </rPr>
      <t>/m</t>
    </r>
    <r>
      <rPr>
        <vertAlign val="superscript"/>
        <sz val="10"/>
        <rFont val="Arial"/>
        <family val="2"/>
      </rPr>
      <t>3</t>
    </r>
    <r>
      <rPr>
        <sz val="10"/>
        <rFont val="Arial"/>
        <family val="2"/>
      </rPr>
      <t>digester/day)</t>
    </r>
  </si>
  <si>
    <r>
      <t>(m</t>
    </r>
    <r>
      <rPr>
        <vertAlign val="superscript"/>
        <sz val="10"/>
        <rFont val="Arial"/>
        <family val="2"/>
      </rPr>
      <t>3</t>
    </r>
    <r>
      <rPr>
        <sz val="10"/>
        <rFont val="Arial"/>
        <family val="2"/>
      </rPr>
      <t>/m</t>
    </r>
    <r>
      <rPr>
        <vertAlign val="superscript"/>
        <sz val="10"/>
        <rFont val="Arial"/>
        <family val="2"/>
      </rPr>
      <t>3</t>
    </r>
    <r>
      <rPr>
        <sz val="10"/>
        <rFont val="Arial"/>
        <family val="2"/>
      </rPr>
      <t>effluent/day)</t>
    </r>
  </si>
  <si>
    <t>Safety Factor</t>
  </si>
  <si>
    <t>Minimum</t>
  </si>
  <si>
    <t>Maximum Performance</t>
  </si>
  <si>
    <t>Recommended</t>
  </si>
  <si>
    <t>Long</t>
  </si>
  <si>
    <t>RT v Temp -&gt;</t>
  </si>
  <si>
    <t>Volatile Solids =</t>
  </si>
  <si>
    <r>
      <t>(kgm</t>
    </r>
    <r>
      <rPr>
        <b/>
        <vertAlign val="superscript"/>
        <sz val="10"/>
        <rFont val="Arial"/>
        <family val="2"/>
      </rPr>
      <t>-3</t>
    </r>
    <r>
      <rPr>
        <b/>
        <sz val="10"/>
        <rFont val="Arial"/>
        <family val="2"/>
      </rPr>
      <t>)</t>
    </r>
  </si>
  <si>
    <t>OptDiln</t>
  </si>
  <si>
    <t>Anaerobic Digester Operation (Temperature and RT)</t>
  </si>
  <si>
    <t>Anaerobic Digester Operation (VS and RT)</t>
  </si>
  <si>
    <t>Assuming</t>
  </si>
  <si>
    <t>% Methane</t>
  </si>
  <si>
    <r>
      <t>m</t>
    </r>
    <r>
      <rPr>
        <vertAlign val="superscript"/>
        <sz val="10"/>
        <rFont val="Arial"/>
        <family val="2"/>
      </rPr>
      <t xml:space="preserve">3 </t>
    </r>
    <r>
      <rPr>
        <sz val="10"/>
        <rFont val="Arial"/>
        <family val="2"/>
      </rPr>
      <t>per kg VS destroyed</t>
    </r>
  </si>
  <si>
    <t>Per 1000kg liveweight</t>
  </si>
  <si>
    <t>Human</t>
  </si>
  <si>
    <t>Return to CFST</t>
  </si>
  <si>
    <t>human*</t>
  </si>
  <si>
    <t>* Estimated from some published figures, PLH</t>
  </si>
  <si>
    <t>MSW</t>
  </si>
  <si>
    <t>Sewerage</t>
  </si>
  <si>
    <t>N/A</t>
  </si>
  <si>
    <t>Weight(kg)</t>
  </si>
  <si>
    <t>Based on 1997 figures in Adelaide, South Australia</t>
  </si>
  <si>
    <t>6) All spoil is used on site, but there is no allowance for bulking</t>
  </si>
  <si>
    <t>7) $300 transport cost added to Cost of Excavation if actual cost is less than $8000</t>
  </si>
  <si>
    <t>8) Liner Width and Length include allowances for trenches, pockets, overlaps etc</t>
  </si>
  <si>
    <t>9) Maximum practical liner length is 60 m.</t>
  </si>
  <si>
    <t>Gas Production per kg VS added</t>
  </si>
  <si>
    <t>Temperature of</t>
  </si>
  <si>
    <r>
      <t>Ó</t>
    </r>
    <r>
      <rPr>
        <sz val="8"/>
        <rFont val="Arial"/>
        <family val="2"/>
      </rPr>
      <t xml:space="preserve"> Paul Harris, April 19, 2010                   Version 22.2</t>
    </r>
  </si>
  <si>
    <t xml:space="preserve">Food waste </t>
  </si>
  <si>
    <t>kg per day</t>
  </si>
  <si>
    <t>Food Slurry</t>
  </si>
  <si>
    <t xml:space="preserve">Moisture content </t>
  </si>
  <si>
    <t>kg/m³</t>
  </si>
  <si>
    <t xml:space="preserve">Water in FW </t>
  </si>
  <si>
    <t xml:space="preserve">Solid Fraction </t>
  </si>
  <si>
    <t>Fat</t>
  </si>
  <si>
    <t>Solid in Suspension</t>
  </si>
  <si>
    <t xml:space="preserve">Protein </t>
  </si>
  <si>
    <t xml:space="preserve">Water added to make suspension </t>
  </si>
  <si>
    <t xml:space="preserve">Lipid </t>
  </si>
  <si>
    <t xml:space="preserve">Total flow rate to the reactor </t>
  </si>
  <si>
    <t>-</t>
  </si>
  <si>
    <t>Density of water</t>
  </si>
  <si>
    <r>
      <t>kg/m</t>
    </r>
    <r>
      <rPr>
        <vertAlign val="superscript"/>
        <sz val="10"/>
        <rFont val="Arial"/>
        <family val="2"/>
      </rPr>
      <t xml:space="preserve">3 </t>
    </r>
  </si>
  <si>
    <t>Flowrate</t>
  </si>
  <si>
    <t>Slurry flowrate</t>
  </si>
  <si>
    <t>Input</t>
  </si>
  <si>
    <t>Glasswool</t>
  </si>
  <si>
    <t>Conversion (%)</t>
  </si>
  <si>
    <t>(c/kWh)</t>
  </si>
  <si>
    <t>Annual Revenue from Electricity</t>
  </si>
  <si>
    <t>($/year)</t>
  </si>
  <si>
    <t>Digester Costing</t>
  </si>
  <si>
    <t>Operational Costing</t>
  </si>
  <si>
    <t>Material cost</t>
  </si>
  <si>
    <t>$/year</t>
  </si>
  <si>
    <t>Rs/kg</t>
  </si>
  <si>
    <t>Labours</t>
  </si>
  <si>
    <t>Labour cost</t>
  </si>
  <si>
    <t>Rs/Labour Month</t>
  </si>
  <si>
    <t>Equipment - Crusher/Pumps</t>
  </si>
  <si>
    <t>Staff</t>
  </si>
  <si>
    <t>Staff cost</t>
  </si>
  <si>
    <t>Rs/Staff Month</t>
  </si>
  <si>
    <t>Water usage</t>
  </si>
  <si>
    <t>Rs/Cubic Meter</t>
  </si>
  <si>
    <t>Power Plant</t>
  </si>
  <si>
    <t>Maintenance Costing</t>
  </si>
  <si>
    <t>For Digester</t>
  </si>
  <si>
    <t>Storage</t>
  </si>
  <si>
    <t>For Power Plant</t>
  </si>
  <si>
    <t>For Storage facilities</t>
  </si>
  <si>
    <t>Waste Storage</t>
  </si>
  <si>
    <t>Gas Storage</t>
  </si>
  <si>
    <t>Capital cost</t>
  </si>
  <si>
    <t>Utilities</t>
  </si>
  <si>
    <t>Power plant</t>
  </si>
  <si>
    <t>Electricity usage of crusher</t>
  </si>
  <si>
    <t>Electricity usage of pumps</t>
  </si>
  <si>
    <t>Electricity for other</t>
  </si>
  <si>
    <t>Revenue from electricity</t>
  </si>
  <si>
    <t>Cost operation</t>
  </si>
  <si>
    <t>Cost for maintenance</t>
  </si>
  <si>
    <t>Cost for utilities</t>
  </si>
  <si>
    <t>https://www.alibaba.com/product-detail/Landfill-gas-power-plant-1mw-biogas_60357809936.html?spm=a2700.7724857.0.0.daQfz7&amp;s=p</t>
  </si>
  <si>
    <t xml:space="preserve">Annual Profit </t>
  </si>
  <si>
    <t>https://www.alibaba.com/product-detail/Food-waste-crusher_60460530717.html?spm=a2700.7724857.0.0.eDkeFA&amp;s=p</t>
  </si>
  <si>
    <t>https://www.alibaba.com/product-detail/submersible-sewage-pump-sludge-pump-mud_60262469462.html?spm=a2700.7724838.0.0.9EOCcU&amp;s=p</t>
  </si>
  <si>
    <t>Payback</t>
  </si>
  <si>
    <t>years</t>
  </si>
  <si>
    <t>storage for 5 days</t>
  </si>
  <si>
    <t>storage for 1 day</t>
  </si>
  <si>
    <t>For steam-electric power station</t>
  </si>
  <si>
    <t>BMP</t>
  </si>
  <si>
    <t>CO2</t>
  </si>
  <si>
    <t>Methane yield</t>
  </si>
  <si>
    <t>Province</t>
  </si>
  <si>
    <t>Percentage of Bio-degradable waste - short term (%)</t>
  </si>
  <si>
    <t>Gross weight of waste collected (kg/day)</t>
  </si>
  <si>
    <t>Percentage of Gross weight of waste collected (%)</t>
  </si>
  <si>
    <t>Western</t>
  </si>
  <si>
    <t>Southern</t>
  </si>
  <si>
    <t>Central</t>
  </si>
  <si>
    <t>North Western</t>
  </si>
  <si>
    <t>Sabaragamuwa</t>
  </si>
  <si>
    <t>Uva</t>
  </si>
  <si>
    <t>North Central</t>
  </si>
  <si>
    <t>Eastern</t>
  </si>
  <si>
    <t>Northern</t>
  </si>
  <si>
    <t>Bio-degradable waste - short term  (kg/day)</t>
  </si>
  <si>
    <t>Methane Yield</t>
  </si>
  <si>
    <t>Power (kJ/kg)</t>
  </si>
  <si>
    <t>m³ per day</t>
  </si>
  <si>
    <t>AT KODS</t>
  </si>
  <si>
    <t>Organic</t>
  </si>
  <si>
    <t>Cotton</t>
  </si>
  <si>
    <t>Nylon</t>
  </si>
  <si>
    <t>Plastic</t>
  </si>
  <si>
    <t>Polythene</t>
  </si>
  <si>
    <t>PVC</t>
  </si>
  <si>
    <t>Rubber</t>
  </si>
  <si>
    <t>News Paper</t>
  </si>
  <si>
    <t>Cardboards</t>
  </si>
  <si>
    <t>Construction Demolitions</t>
  </si>
  <si>
    <t>Glass</t>
  </si>
  <si>
    <t>E-Waste</t>
  </si>
  <si>
    <t>Others</t>
  </si>
  <si>
    <t>Clinical Waste</t>
  </si>
  <si>
    <t>Food</t>
  </si>
  <si>
    <t>ORGANIC</t>
  </si>
  <si>
    <t>Coconut Husks</t>
  </si>
  <si>
    <t>Coconut Shells</t>
  </si>
  <si>
    <t>Coconut Comb</t>
  </si>
  <si>
    <t>Coconut Fibre</t>
  </si>
  <si>
    <t>Bones</t>
  </si>
  <si>
    <t>Garden Waste</t>
  </si>
  <si>
    <t>Wood</t>
  </si>
  <si>
    <t>Vegetable Residues</t>
  </si>
  <si>
    <t>Fish and Meat</t>
  </si>
  <si>
    <t>Fruit Residues</t>
  </si>
  <si>
    <t>Kitchen</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</si>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</sst>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_-&quot;$&quot;* #,##0_-;\-&quot;$&quot;* #,##0_-;_-&quot;$&quot;* &quot;-&quot;_-;_-@_-"/>
    <numFmt numFmtId="165" formatCode="_-&quot;$&quot;* #,##0.00_-;\-&quot;$&quot;* #,##0.00_-;_-&quot;$&quot;* &quot;-&quot;??_-;_-@_-"/>
    <numFmt numFmtId="166" formatCode="_-* #,##0.00_-;\-* #,##0.00_-;_-* &quot;-&quot;??_-;_-@_-"/>
    <numFmt numFmtId="167" formatCode="0.000"/>
    <numFmt numFmtId="168" formatCode="0.0"/>
    <numFmt numFmtId="169" formatCode="_-&quot;$&quot;* #,##0.0_-;\-&quot;$&quot;* #,##0.0_-;_-&quot;$&quot;* &quot;-&quot;??_-;_-@_-"/>
    <numFmt numFmtId="170" formatCode="_-&quot;$&quot;* #,##0_-;\-&quot;$&quot;* #,##0_-;_-&quot;$&quot;* &quot;-&quot;??_-;_-@_-"/>
  </numFmts>
  <fonts count="30" x14ac:knownFonts="1">
    <font>
      <sz val="10"/>
      <name val="Arial"/>
    </font>
    <font>
      <b/>
      <sz val="10"/>
      <name val="Arial"/>
      <family val="2"/>
    </font>
    <font>
      <sz val="10"/>
      <name val="Arial"/>
      <family val="2"/>
    </font>
    <font>
      <sz val="8"/>
      <name val="Arial"/>
      <family val="2"/>
    </font>
    <font>
      <vertAlign val="superscript"/>
      <sz val="10"/>
      <name val="Arial"/>
      <family val="2"/>
    </font>
    <font>
      <b/>
      <u/>
      <sz val="10"/>
      <name val="Arial"/>
      <family val="2"/>
    </font>
    <font>
      <sz val="10"/>
      <name val="Arial"/>
      <family val="2"/>
    </font>
    <font>
      <b/>
      <u/>
      <sz val="14"/>
      <name val="Arial"/>
      <family val="2"/>
    </font>
    <font>
      <sz val="12"/>
      <name val="Arial"/>
      <family val="2"/>
    </font>
    <font>
      <sz val="24"/>
      <name val="Arial"/>
      <family val="2"/>
    </font>
    <font>
      <b/>
      <sz val="11"/>
      <name val="Arial"/>
      <family val="2"/>
    </font>
    <font>
      <sz val="11"/>
      <name val="Arial"/>
      <family val="2"/>
    </font>
    <font>
      <vertAlign val="superscript"/>
      <sz val="11"/>
      <name val="Arial"/>
      <family val="2"/>
    </font>
    <font>
      <b/>
      <u/>
      <sz val="11"/>
      <name val="Arial"/>
      <family val="2"/>
    </font>
    <font>
      <b/>
      <vertAlign val="superscript"/>
      <sz val="11"/>
      <name val="Arial"/>
      <family val="2"/>
    </font>
    <font>
      <sz val="11"/>
      <color indexed="10"/>
      <name val="Arial"/>
      <family val="2"/>
    </font>
    <font>
      <b/>
      <sz val="12"/>
      <name val="Arial"/>
      <family val="2"/>
    </font>
    <font>
      <sz val="8"/>
      <name val="Symbol"/>
      <family val="1"/>
      <charset val="2"/>
    </font>
    <font>
      <sz val="12"/>
      <color indexed="8"/>
      <name val="Arial"/>
      <family val="2"/>
    </font>
    <font>
      <u/>
      <sz val="10"/>
      <color indexed="12"/>
      <name val="Arial"/>
      <family val="2"/>
    </font>
    <font>
      <b/>
      <sz val="10"/>
      <name val="Arial"/>
      <family val="2"/>
    </font>
    <font>
      <sz val="10"/>
      <color indexed="9"/>
      <name val="Arial"/>
      <family val="2"/>
    </font>
    <font>
      <vertAlign val="subscript"/>
      <sz val="10"/>
      <name val="Arial"/>
      <family val="2"/>
    </font>
    <font>
      <b/>
      <vertAlign val="superscript"/>
      <sz val="10"/>
      <name val="Arial"/>
      <family val="2"/>
    </font>
    <font>
      <sz val="8"/>
      <color indexed="81"/>
      <name val="Tahoma"/>
      <family val="2"/>
    </font>
    <font>
      <b/>
      <sz val="8"/>
      <color indexed="81"/>
      <name val="Tahoma"/>
      <family val="2"/>
    </font>
    <font>
      <sz val="10"/>
      <color rgb="FF000000"/>
      <name val="Arial"/>
      <family val="2"/>
    </font>
    <font>
      <b/>
      <sz val="12"/>
      <color rgb="FF000000"/>
      <name val="Times New Roman"/>
      <family val="1"/>
    </font>
    <font>
      <sz val="12"/>
      <color rgb="FF000000"/>
      <name val="Times New Roman"/>
      <family val="1"/>
    </font>
    <font>
      <sz val="12"/>
      <name val="Times New Roman"/>
      <family val="1"/>
    </font>
  </fonts>
  <fills count="7">
    <fill>
      <patternFill patternType="none"/>
    </fill>
    <fill>
      <patternFill patternType="gray125"/>
    </fill>
    <fill>
      <patternFill patternType="solid">
        <fgColor indexed="13"/>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theme="9" tint="0.39997558519241921"/>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bottom/>
      <diagonal/>
    </border>
  </borders>
  <cellStyleXfs count="5">
    <xf numFmtId="0" fontId="0" fillId="0" borderId="0"/>
    <xf numFmtId="166" fontId="2" fillId="0" borderId="0" applyFont="0" applyFill="0" applyBorder="0" applyAlignment="0" applyProtection="0"/>
    <xf numFmtId="165" fontId="2" fillId="0" borderId="0" applyFont="0" applyFill="0" applyBorder="0" applyAlignment="0" applyProtection="0"/>
    <xf numFmtId="0" fontId="19" fillId="0" borderId="0" applyNumberFormat="0" applyFill="0" applyBorder="0" applyAlignment="0" applyProtection="0">
      <alignment vertical="top"/>
      <protection locked="0"/>
    </xf>
    <xf numFmtId="9" fontId="2" fillId="0" borderId="0" applyFont="0" applyFill="0" applyBorder="0" applyAlignment="0" applyProtection="0"/>
  </cellStyleXfs>
  <cellXfs count="295">
    <xf numFmtId="0" fontId="0" fillId="0" borderId="0" xfId="0"/>
    <xf numFmtId="0" fontId="1" fillId="0" borderId="0" xfId="0" applyFont="1"/>
    <xf numFmtId="0" fontId="0" fillId="0" borderId="1" xfId="0" applyBorder="1" applyAlignment="1">
      <alignment horizontal="center"/>
    </xf>
    <xf numFmtId="167" fontId="0" fillId="0" borderId="1" xfId="0" applyNumberForma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167" fontId="0" fillId="0" borderId="6" xfId="0" applyNumberForma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167" fontId="0" fillId="0" borderId="8" xfId="0" applyNumberFormat="1" applyBorder="1" applyAlignment="1">
      <alignment horizontal="center"/>
    </xf>
    <xf numFmtId="0" fontId="0" fillId="0" borderId="9" xfId="0" applyBorder="1" applyAlignment="1">
      <alignment horizontal="center"/>
    </xf>
    <xf numFmtId="167" fontId="0" fillId="0" borderId="9" xfId="0" applyNumberFormat="1" applyBorder="1" applyAlignment="1">
      <alignment horizontal="center"/>
    </xf>
    <xf numFmtId="0" fontId="5" fillId="0" borderId="0" xfId="0" applyFont="1"/>
    <xf numFmtId="0" fontId="7" fillId="0" borderId="0" xfId="0" applyFont="1"/>
    <xf numFmtId="0" fontId="0" fillId="0" borderId="0" xfId="0" applyAlignment="1">
      <alignment horizontal="right"/>
    </xf>
    <xf numFmtId="0" fontId="0" fillId="0" borderId="0" xfId="0" applyAlignment="1">
      <alignment horizontal="center"/>
    </xf>
    <xf numFmtId="49" fontId="0" fillId="0" borderId="0" xfId="0" applyNumberFormat="1" applyAlignment="1">
      <alignment wrapText="1"/>
    </xf>
    <xf numFmtId="49" fontId="9" fillId="0" borderId="0" xfId="0" applyNumberFormat="1" applyFont="1" applyAlignment="1">
      <alignment wrapText="1"/>
    </xf>
    <xf numFmtId="2" fontId="0" fillId="0" borderId="0" xfId="0" applyNumberFormat="1" applyAlignment="1">
      <alignment horizontal="center"/>
    </xf>
    <xf numFmtId="168" fontId="0" fillId="0" borderId="0" xfId="0" applyNumberFormat="1" applyAlignment="1">
      <alignment horizontal="center"/>
    </xf>
    <xf numFmtId="170" fontId="0" fillId="0" borderId="0" xfId="2" applyNumberFormat="1" applyFont="1" applyAlignment="1">
      <alignment horizontal="center"/>
    </xf>
    <xf numFmtId="165" fontId="0" fillId="0" borderId="0" xfId="2" applyFont="1"/>
    <xf numFmtId="170" fontId="0" fillId="0" borderId="0" xfId="2" applyNumberFormat="1" applyFont="1"/>
    <xf numFmtId="170" fontId="0" fillId="0" borderId="0" xfId="0" applyNumberFormat="1"/>
    <xf numFmtId="1" fontId="0" fillId="0" borderId="0" xfId="0" applyNumberFormat="1" applyAlignment="1">
      <alignment horizontal="center"/>
    </xf>
    <xf numFmtId="165" fontId="0" fillId="0" borderId="0" xfId="0" applyNumberFormat="1"/>
    <xf numFmtId="0" fontId="0" fillId="0" borderId="0" xfId="0" applyBorder="1" applyAlignment="1">
      <alignment horizontal="center"/>
    </xf>
    <xf numFmtId="0" fontId="0" fillId="0" borderId="7" xfId="0" applyBorder="1" applyAlignment="1">
      <alignment horizontal="left"/>
    </xf>
    <xf numFmtId="0" fontId="0" fillId="0" borderId="0" xfId="0" applyBorder="1" applyAlignment="1">
      <alignment horizontal="left"/>
    </xf>
    <xf numFmtId="0" fontId="10" fillId="0" borderId="0" xfId="0" applyFont="1"/>
    <xf numFmtId="0" fontId="11" fillId="0" borderId="0" xfId="0" applyFont="1"/>
    <xf numFmtId="0" fontId="11" fillId="0" borderId="0" xfId="0" applyFont="1" applyProtection="1">
      <protection locked="0"/>
    </xf>
    <xf numFmtId="165" fontId="11" fillId="0" borderId="0" xfId="2" applyFont="1"/>
    <xf numFmtId="165" fontId="11" fillId="0" borderId="0" xfId="0" applyNumberFormat="1" applyFont="1"/>
    <xf numFmtId="169" fontId="0" fillId="0" borderId="0" xfId="0" applyNumberFormat="1"/>
    <xf numFmtId="0" fontId="11" fillId="0" borderId="0" xfId="0" applyFont="1" applyAlignment="1">
      <alignment horizontal="center"/>
    </xf>
    <xf numFmtId="167" fontId="11" fillId="0" borderId="0" xfId="0" applyNumberFormat="1" applyFont="1" applyAlignment="1">
      <alignment horizontal="center"/>
    </xf>
    <xf numFmtId="0" fontId="8" fillId="0" borderId="0" xfId="0" applyNumberFormat="1" applyFont="1" applyAlignment="1">
      <alignment wrapText="1"/>
    </xf>
    <xf numFmtId="0" fontId="0" fillId="0" borderId="0" xfId="0" applyNumberFormat="1" applyAlignment="1">
      <alignment wrapText="1"/>
    </xf>
    <xf numFmtId="0" fontId="16" fillId="0" borderId="0" xfId="0" applyFont="1"/>
    <xf numFmtId="2" fontId="16" fillId="0" borderId="0" xfId="0" applyNumberFormat="1" applyFont="1"/>
    <xf numFmtId="167" fontId="16" fillId="0" borderId="0" xfId="0" applyNumberFormat="1" applyFont="1"/>
    <xf numFmtId="0" fontId="6" fillId="0" borderId="0" xfId="0" applyFont="1"/>
    <xf numFmtId="0" fontId="6" fillId="0" borderId="0" xfId="0" applyFont="1" applyAlignment="1">
      <alignment horizontal="center"/>
    </xf>
    <xf numFmtId="0" fontId="6" fillId="0" borderId="0" xfId="0" applyFont="1" applyAlignment="1"/>
    <xf numFmtId="0" fontId="6" fillId="0" borderId="0" xfId="0" applyNumberFormat="1" applyFont="1" applyAlignment="1">
      <alignment wrapText="1"/>
    </xf>
    <xf numFmtId="0" fontId="6" fillId="0" borderId="0" xfId="0" applyNumberFormat="1" applyFont="1" applyAlignment="1">
      <alignment horizontal="center" wrapText="1"/>
    </xf>
    <xf numFmtId="0" fontId="0" fillId="0" borderId="0" xfId="0" applyAlignment="1">
      <alignment horizontal="left"/>
    </xf>
    <xf numFmtId="0" fontId="17" fillId="0" borderId="0" xfId="0" applyFont="1"/>
    <xf numFmtId="0" fontId="18" fillId="2" borderId="0" xfId="0" applyNumberFormat="1" applyFont="1" applyFill="1" applyAlignment="1">
      <alignment wrapText="1"/>
    </xf>
    <xf numFmtId="0" fontId="0" fillId="2" borderId="0" xfId="0" applyFill="1" applyProtection="1">
      <protection locked="0"/>
    </xf>
    <xf numFmtId="0" fontId="11" fillId="2" borderId="0" xfId="0" applyFont="1" applyFill="1" applyProtection="1">
      <protection locked="0"/>
    </xf>
    <xf numFmtId="0" fontId="18" fillId="0" borderId="0" xfId="0" applyNumberFormat="1" applyFont="1" applyFill="1" applyAlignment="1">
      <alignment wrapText="1"/>
    </xf>
    <xf numFmtId="0" fontId="6" fillId="0" borderId="0" xfId="0" applyFont="1" applyProtection="1">
      <protection locked="0"/>
    </xf>
    <xf numFmtId="0" fontId="0" fillId="0" borderId="0" xfId="0" applyFill="1" applyAlignment="1" applyProtection="1">
      <alignment horizontal="center"/>
    </xf>
    <xf numFmtId="165" fontId="11" fillId="2" borderId="0" xfId="2" applyFont="1" applyFill="1" applyProtection="1">
      <protection locked="0"/>
    </xf>
    <xf numFmtId="0" fontId="16" fillId="2" borderId="0" xfId="0" applyFont="1" applyFill="1" applyProtection="1">
      <protection locked="0"/>
    </xf>
    <xf numFmtId="0" fontId="20" fillId="0" borderId="0" xfId="0" applyFont="1"/>
    <xf numFmtId="0" fontId="0" fillId="0" borderId="0" xfId="0" applyBorder="1"/>
    <xf numFmtId="2" fontId="0" fillId="0" borderId="0" xfId="0" applyNumberFormat="1" applyFill="1" applyAlignment="1">
      <alignment horizontal="center"/>
    </xf>
    <xf numFmtId="165" fontId="2" fillId="2" borderId="0" xfId="2" applyFill="1" applyProtection="1">
      <protection locked="0"/>
    </xf>
    <xf numFmtId="168" fontId="0" fillId="0" borderId="0" xfId="0" applyNumberFormat="1"/>
    <xf numFmtId="167" fontId="0" fillId="0" borderId="0" xfId="0" applyNumberFormat="1"/>
    <xf numFmtId="2" fontId="0" fillId="0" borderId="0" xfId="0" applyNumberFormat="1"/>
    <xf numFmtId="165" fontId="2" fillId="0" borderId="0" xfId="2"/>
    <xf numFmtId="168" fontId="2" fillId="0" borderId="0" xfId="2" applyNumberFormat="1"/>
    <xf numFmtId="0" fontId="0" fillId="0" borderId="0" xfId="0" applyFill="1" applyProtection="1">
      <protection locked="0"/>
    </xf>
    <xf numFmtId="168" fontId="0" fillId="0" borderId="5" xfId="0" applyNumberFormat="1" applyBorder="1" applyAlignment="1">
      <alignment horizontal="center"/>
    </xf>
    <xf numFmtId="168" fontId="0" fillId="0" borderId="0" xfId="0" applyNumberFormat="1" applyFill="1" applyAlignment="1" applyProtection="1">
      <alignment horizontal="center"/>
    </xf>
    <xf numFmtId="2" fontId="11" fillId="0" borderId="0" xfId="0" applyNumberFormat="1" applyFont="1" applyAlignment="1">
      <alignment horizontal="center"/>
    </xf>
    <xf numFmtId="0" fontId="0" fillId="0" borderId="4" xfId="0" applyFill="1" applyBorder="1" applyAlignment="1">
      <alignment horizontal="center"/>
    </xf>
    <xf numFmtId="9" fontId="0" fillId="0" borderId="6" xfId="4" applyFont="1" applyBorder="1" applyAlignment="1">
      <alignment horizontal="center"/>
    </xf>
    <xf numFmtId="9" fontId="0" fillId="0" borderId="9" xfId="4" applyFont="1" applyBorder="1" applyAlignment="1">
      <alignment horizontal="center"/>
    </xf>
    <xf numFmtId="0" fontId="0" fillId="0" borderId="3" xfId="0" applyFill="1" applyBorder="1" applyAlignment="1">
      <alignment horizontal="center"/>
    </xf>
    <xf numFmtId="167" fontId="0" fillId="0" borderId="3" xfId="0" applyNumberFormat="1" applyBorder="1" applyAlignment="1">
      <alignment horizontal="center"/>
    </xf>
    <xf numFmtId="168" fontId="0" fillId="0" borderId="10" xfId="0" applyNumberFormat="1" applyBorder="1" applyAlignment="1">
      <alignment horizontal="center"/>
    </xf>
    <xf numFmtId="9" fontId="0" fillId="0" borderId="11" xfId="4" applyFont="1" applyBorder="1" applyAlignment="1">
      <alignment horizontal="center"/>
    </xf>
    <xf numFmtId="0" fontId="0" fillId="0" borderId="9" xfId="0" applyFill="1" applyBorder="1" applyAlignment="1">
      <alignment horizontal="center"/>
    </xf>
    <xf numFmtId="168" fontId="0" fillId="0" borderId="6" xfId="0" applyNumberFormat="1" applyBorder="1" applyAlignment="1">
      <alignment horizontal="center"/>
    </xf>
    <xf numFmtId="168" fontId="0" fillId="0" borderId="9" xfId="0" applyNumberFormat="1" applyBorder="1" applyAlignment="1">
      <alignment horizontal="center"/>
    </xf>
    <xf numFmtId="0" fontId="19" fillId="0" borderId="0" xfId="3" applyNumberFormat="1" applyAlignment="1" applyProtection="1">
      <alignment wrapText="1"/>
    </xf>
    <xf numFmtId="0" fontId="19" fillId="0" borderId="0" xfId="3" applyAlignment="1" applyProtection="1"/>
    <xf numFmtId="0" fontId="19" fillId="0" borderId="0" xfId="3" applyNumberFormat="1" applyFont="1" applyAlignment="1" applyProtection="1">
      <alignment wrapText="1"/>
    </xf>
    <xf numFmtId="0" fontId="19" fillId="0" borderId="0" xfId="3" applyNumberFormat="1" applyFill="1" applyAlignment="1" applyProtection="1">
      <alignment wrapText="1"/>
    </xf>
    <xf numFmtId="168" fontId="11" fillId="0" borderId="0" xfId="0" applyNumberFormat="1" applyFont="1"/>
    <xf numFmtId="0" fontId="11" fillId="0" borderId="0" xfId="0" applyFont="1" applyAlignment="1">
      <alignment horizontal="left"/>
    </xf>
    <xf numFmtId="0" fontId="15" fillId="3" borderId="0" xfId="0" applyFont="1" applyFill="1" applyProtection="1"/>
    <xf numFmtId="2" fontId="11" fillId="2" borderId="0" xfId="0" applyNumberFormat="1" applyFont="1" applyFill="1" applyProtection="1">
      <protection locked="0"/>
    </xf>
    <xf numFmtId="168" fontId="0" fillId="0" borderId="2" xfId="0" applyNumberFormat="1" applyBorder="1" applyAlignment="1">
      <alignment horizontal="center"/>
    </xf>
    <xf numFmtId="9" fontId="0" fillId="0" borderId="4" xfId="4" applyFont="1" applyBorder="1" applyAlignment="1">
      <alignment horizontal="center"/>
    </xf>
    <xf numFmtId="168" fontId="0" fillId="0" borderId="12" xfId="0" applyNumberFormat="1" applyBorder="1" applyAlignment="1">
      <alignment horizontal="center"/>
    </xf>
    <xf numFmtId="168" fontId="0" fillId="0" borderId="13" xfId="0" applyNumberFormat="1" applyBorder="1" applyAlignment="1">
      <alignment horizontal="center"/>
    </xf>
    <xf numFmtId="1" fontId="21" fillId="3" borderId="0" xfId="0" applyNumberFormat="1" applyFont="1" applyFill="1" applyAlignment="1" applyProtection="1">
      <alignment horizontal="center"/>
      <protection hidden="1"/>
    </xf>
    <xf numFmtId="0" fontId="11" fillId="0" borderId="0" xfId="0" applyFont="1" applyAlignment="1">
      <alignment horizontal="right"/>
    </xf>
    <xf numFmtId="167" fontId="0" fillId="3" borderId="0" xfId="0" applyNumberFormat="1" applyFill="1" applyAlignment="1" applyProtection="1">
      <alignment horizontal="right"/>
    </xf>
    <xf numFmtId="0" fontId="0" fillId="0" borderId="0" xfId="0" applyFill="1"/>
    <xf numFmtId="2" fontId="0" fillId="0" borderId="0" xfId="0" applyNumberFormat="1" applyFill="1" applyAlignment="1" applyProtection="1">
      <alignment horizontal="center"/>
      <protection locked="0"/>
    </xf>
    <xf numFmtId="0" fontId="8" fillId="4" borderId="0" xfId="0" applyNumberFormat="1" applyFont="1" applyFill="1" applyAlignment="1">
      <alignment wrapText="1"/>
    </xf>
    <xf numFmtId="0" fontId="8" fillId="5" borderId="0" xfId="0" applyNumberFormat="1" applyFont="1" applyFill="1" applyAlignment="1">
      <alignment wrapText="1"/>
    </xf>
    <xf numFmtId="0" fontId="0" fillId="5" borderId="0" xfId="0" applyFill="1"/>
    <xf numFmtId="168" fontId="11" fillId="4" borderId="0" xfId="0" applyNumberFormat="1" applyFont="1" applyFill="1" applyProtection="1">
      <protection locked="0"/>
    </xf>
    <xf numFmtId="0" fontId="10" fillId="5" borderId="0" xfId="0" applyFont="1" applyFill="1"/>
    <xf numFmtId="0" fontId="11" fillId="5" borderId="0" xfId="0" applyFont="1" applyFill="1"/>
    <xf numFmtId="167" fontId="11" fillId="5" borderId="0" xfId="0" applyNumberFormat="1" applyFont="1" applyFill="1"/>
    <xf numFmtId="0" fontId="13" fillId="5" borderId="0" xfId="0" applyFont="1" applyFill="1"/>
    <xf numFmtId="165" fontId="10" fillId="5" borderId="0" xfId="2" applyNumberFormat="1" applyFont="1" applyFill="1"/>
    <xf numFmtId="168" fontId="0" fillId="5" borderId="0" xfId="0" applyNumberFormat="1" applyFill="1"/>
    <xf numFmtId="167" fontId="0" fillId="5" borderId="0" xfId="0" applyNumberFormat="1" applyFill="1"/>
    <xf numFmtId="165" fontId="2" fillId="5" borderId="0" xfId="2" applyFill="1"/>
    <xf numFmtId="2" fontId="2" fillId="5" borderId="0" xfId="2" applyNumberFormat="1" applyFill="1"/>
    <xf numFmtId="0" fontId="0" fillId="0" borderId="0" xfId="0" applyFill="1" applyAlignment="1">
      <alignment horizontal="right"/>
    </xf>
    <xf numFmtId="165" fontId="0" fillId="0" borderId="0" xfId="0" applyNumberFormat="1" applyFill="1" applyProtection="1">
      <protection locked="0"/>
    </xf>
    <xf numFmtId="168" fontId="0" fillId="0" borderId="0" xfId="0" applyNumberFormat="1" applyFill="1"/>
    <xf numFmtId="2" fontId="0" fillId="0" borderId="0" xfId="0" applyNumberFormat="1" applyFill="1"/>
    <xf numFmtId="167" fontId="0" fillId="0" borderId="0" xfId="0" applyNumberFormat="1" applyFill="1"/>
    <xf numFmtId="165" fontId="2" fillId="0" borderId="0" xfId="2" applyFill="1"/>
    <xf numFmtId="168" fontId="2" fillId="0" borderId="0" xfId="2" applyNumberFormat="1" applyFill="1"/>
    <xf numFmtId="1" fontId="0" fillId="0" borderId="0" xfId="0" applyNumberFormat="1" applyFill="1"/>
    <xf numFmtId="2" fontId="2" fillId="0" borderId="0" xfId="2" applyNumberFormat="1" applyFill="1"/>
    <xf numFmtId="0" fontId="20" fillId="0" borderId="0" xfId="0" applyFont="1" applyAlignment="1">
      <alignment horizontal="right"/>
    </xf>
    <xf numFmtId="0" fontId="23" fillId="0" borderId="0" xfId="0" applyFont="1"/>
    <xf numFmtId="0" fontId="0" fillId="0" borderId="14" xfId="0" applyBorder="1" applyAlignment="1">
      <alignment horizontal="left"/>
    </xf>
    <xf numFmtId="0" fontId="0" fillId="0" borderId="15" xfId="0" applyBorder="1" applyAlignment="1">
      <alignment horizontal="center"/>
    </xf>
    <xf numFmtId="0" fontId="0" fillId="0" borderId="16" xfId="0" applyBorder="1" applyAlignment="1">
      <alignment horizontal="center"/>
    </xf>
    <xf numFmtId="0" fontId="20" fillId="0" borderId="16" xfId="0" applyFont="1"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2" fontId="0" fillId="0" borderId="19" xfId="0" applyNumberFormat="1" applyBorder="1" applyAlignment="1">
      <alignment horizontal="center"/>
    </xf>
    <xf numFmtId="0" fontId="0" fillId="0" borderId="20" xfId="0" applyBorder="1" applyAlignment="1">
      <alignment horizontal="center"/>
    </xf>
    <xf numFmtId="0" fontId="20" fillId="0" borderId="20" xfId="0" applyFont="1" applyBorder="1" applyAlignment="1">
      <alignment horizontal="center"/>
    </xf>
    <xf numFmtId="0" fontId="0" fillId="0" borderId="14" xfId="0" applyBorder="1"/>
    <xf numFmtId="168" fontId="0" fillId="0" borderId="19" xfId="0" applyNumberFormat="1" applyBorder="1" applyAlignment="1">
      <alignment horizontal="center"/>
    </xf>
    <xf numFmtId="168" fontId="0" fillId="0" borderId="21" xfId="0" applyNumberFormat="1" applyBorder="1" applyAlignment="1">
      <alignment horizontal="center"/>
    </xf>
    <xf numFmtId="168" fontId="20" fillId="0" borderId="19" xfId="0" applyNumberFormat="1" applyFont="1" applyBorder="1" applyAlignment="1">
      <alignment horizontal="center"/>
    </xf>
    <xf numFmtId="168" fontId="0" fillId="0" borderId="22" xfId="0" applyNumberFormat="1" applyBorder="1" applyAlignment="1">
      <alignment horizontal="center"/>
    </xf>
    <xf numFmtId="168" fontId="0" fillId="0" borderId="23" xfId="0" applyNumberFormat="1" applyBorder="1" applyAlignment="1">
      <alignment horizontal="center"/>
    </xf>
    <xf numFmtId="1" fontId="0" fillId="0" borderId="16" xfId="0" applyNumberFormat="1" applyBorder="1" applyAlignment="1">
      <alignment horizontal="center"/>
    </xf>
    <xf numFmtId="1" fontId="20" fillId="0" borderId="16" xfId="0" applyNumberFormat="1" applyFont="1" applyBorder="1" applyAlignment="1">
      <alignment horizontal="center"/>
    </xf>
    <xf numFmtId="2" fontId="6" fillId="0" borderId="0" xfId="0" applyNumberFormat="1" applyFont="1" applyFill="1" applyAlignment="1">
      <alignment horizontal="center"/>
    </xf>
    <xf numFmtId="0" fontId="6" fillId="0" borderId="0" xfId="0" applyFont="1" applyBorder="1"/>
    <xf numFmtId="0" fontId="6" fillId="0" borderId="0" xfId="0" applyFont="1" applyBorder="1" applyAlignment="1">
      <alignment horizontal="center"/>
    </xf>
    <xf numFmtId="0" fontId="6" fillId="0" borderId="24" xfId="0" applyFont="1" applyBorder="1" applyAlignment="1">
      <alignment horizontal="center"/>
    </xf>
    <xf numFmtId="0" fontId="6" fillId="0" borderId="25" xfId="0" applyFont="1" applyBorder="1" applyAlignment="1">
      <alignment horizontal="center"/>
    </xf>
    <xf numFmtId="0" fontId="6" fillId="0" borderId="26" xfId="0" applyFont="1" applyBorder="1" applyAlignment="1">
      <alignment horizontal="center"/>
    </xf>
    <xf numFmtId="0" fontId="6" fillId="0" borderId="27" xfId="0" applyFont="1" applyBorder="1" applyAlignment="1">
      <alignment horizontal="center"/>
    </xf>
    <xf numFmtId="0" fontId="6" fillId="0" borderId="27" xfId="0" applyFont="1" applyFill="1" applyBorder="1" applyAlignment="1">
      <alignment horizontal="center"/>
    </xf>
    <xf numFmtId="0" fontId="6" fillId="0" borderId="0" xfId="0" applyFont="1" applyFill="1" applyBorder="1" applyAlignment="1">
      <alignment horizontal="center"/>
    </xf>
    <xf numFmtId="0" fontId="6" fillId="0" borderId="2" xfId="0" applyFont="1" applyBorder="1" applyAlignment="1">
      <alignment horizontal="center"/>
    </xf>
    <xf numFmtId="0" fontId="6" fillId="0" borderId="3" xfId="0" applyFont="1" applyBorder="1" applyAlignment="1">
      <alignment horizontal="center"/>
    </xf>
    <xf numFmtId="0" fontId="6" fillId="0" borderId="0" xfId="0" applyNumberFormat="1" applyFont="1" applyAlignment="1"/>
    <xf numFmtId="0" fontId="6" fillId="0" borderId="5" xfId="0" applyFont="1" applyBorder="1" applyAlignment="1">
      <alignment horizontal="center"/>
    </xf>
    <xf numFmtId="0" fontId="6" fillId="0" borderId="1" xfId="0" applyFont="1" applyBorder="1" applyAlignment="1">
      <alignment horizontal="center"/>
    </xf>
    <xf numFmtId="1" fontId="6" fillId="4" borderId="0" xfId="0" applyNumberFormat="1" applyFont="1" applyFill="1" applyAlignment="1" applyProtection="1">
      <alignment horizontal="center"/>
      <protection locked="0"/>
    </xf>
    <xf numFmtId="2" fontId="6" fillId="4" borderId="0" xfId="0" applyNumberFormat="1" applyFont="1" applyFill="1" applyAlignment="1" applyProtection="1">
      <alignment horizontal="center"/>
      <protection locked="0"/>
    </xf>
    <xf numFmtId="0" fontId="6" fillId="5" borderId="0" xfId="0" applyFont="1" applyFill="1"/>
    <xf numFmtId="2" fontId="6" fillId="5" borderId="0" xfId="0" applyNumberFormat="1" applyFont="1" applyFill="1" applyAlignment="1">
      <alignment horizontal="center"/>
    </xf>
    <xf numFmtId="0" fontId="6" fillId="2" borderId="0" xfId="0" applyFont="1" applyFill="1"/>
    <xf numFmtId="0" fontId="6" fillId="0" borderId="0" xfId="0" applyFont="1" applyFill="1"/>
    <xf numFmtId="2" fontId="6" fillId="2" borderId="0" xfId="1" applyNumberFormat="1" applyFont="1" applyFill="1" applyAlignment="1" applyProtection="1">
      <alignment horizontal="center"/>
      <protection locked="0"/>
    </xf>
    <xf numFmtId="164" fontId="6" fillId="5" borderId="0" xfId="2" applyNumberFormat="1" applyFont="1" applyFill="1" applyAlignment="1" applyProtection="1"/>
    <xf numFmtId="0" fontId="6" fillId="4" borderId="0" xfId="0" applyFont="1" applyFill="1"/>
    <xf numFmtId="2" fontId="6" fillId="0" borderId="0" xfId="0" applyNumberFormat="1" applyFont="1"/>
    <xf numFmtId="0" fontId="19" fillId="0" borderId="14" xfId="3" applyBorder="1" applyAlignment="1" applyProtection="1"/>
    <xf numFmtId="2" fontId="6" fillId="2" borderId="0" xfId="0" applyNumberFormat="1" applyFont="1" applyFill="1" applyAlignment="1">
      <alignment horizontal="center"/>
    </xf>
    <xf numFmtId="0" fontId="4" fillId="2" borderId="0" xfId="0" applyFont="1" applyFill="1"/>
    <xf numFmtId="2" fontId="20" fillId="0" borderId="19" xfId="0" applyNumberFormat="1" applyFont="1" applyBorder="1" applyAlignment="1">
      <alignment horizontal="center"/>
    </xf>
    <xf numFmtId="167" fontId="6" fillId="5" borderId="0" xfId="0" applyNumberFormat="1" applyFont="1" applyFill="1" applyAlignment="1">
      <alignment horizontal="center"/>
    </xf>
    <xf numFmtId="0" fontId="20" fillId="0" borderId="1" xfId="0" applyFont="1" applyBorder="1" applyAlignment="1">
      <alignment horizontal="center"/>
    </xf>
    <xf numFmtId="0" fontId="6" fillId="0" borderId="1" xfId="0" applyFont="1" applyFill="1" applyBorder="1" applyAlignment="1">
      <alignment horizontal="center"/>
    </xf>
    <xf numFmtId="1" fontId="0" fillId="3" borderId="0" xfId="0" applyNumberFormat="1" applyFill="1" applyProtection="1"/>
    <xf numFmtId="168" fontId="0" fillId="0" borderId="1" xfId="0" applyNumberFormat="1" applyBorder="1" applyAlignment="1">
      <alignment horizontal="center"/>
    </xf>
    <xf numFmtId="168" fontId="0" fillId="0" borderId="8" xfId="0" applyNumberFormat="1" applyBorder="1" applyAlignment="1">
      <alignment horizontal="center"/>
    </xf>
    <xf numFmtId="168" fontId="6" fillId="5" borderId="0" xfId="0" applyNumberFormat="1" applyFont="1" applyFill="1" applyAlignment="1">
      <alignment horizontal="center"/>
    </xf>
    <xf numFmtId="168" fontId="6" fillId="4" borderId="0" xfId="0" applyNumberFormat="1" applyFont="1" applyFill="1" applyAlignment="1" applyProtection="1">
      <alignment horizontal="center"/>
      <protection locked="0"/>
    </xf>
    <xf numFmtId="0" fontId="6" fillId="0" borderId="28" xfId="0" applyFont="1" applyBorder="1" applyAlignment="1">
      <alignment horizontal="left"/>
    </xf>
    <xf numFmtId="0" fontId="6" fillId="0" borderId="29" xfId="0" applyFont="1" applyBorder="1" applyAlignment="1">
      <alignment horizontal="left"/>
    </xf>
    <xf numFmtId="0" fontId="6" fillId="0" borderId="30" xfId="0" applyFont="1" applyBorder="1" applyAlignment="1">
      <alignment horizontal="left"/>
    </xf>
    <xf numFmtId="0" fontId="20" fillId="0" borderId="28" xfId="0" applyFont="1" applyBorder="1" applyAlignment="1">
      <alignment horizontal="left"/>
    </xf>
    <xf numFmtId="0" fontId="20" fillId="0" borderId="29" xfId="0" applyFont="1" applyBorder="1" applyAlignment="1">
      <alignment horizontal="left"/>
    </xf>
    <xf numFmtId="0" fontId="20" fillId="0" borderId="30" xfId="0" applyFont="1" applyBorder="1" applyAlignment="1">
      <alignment horizontal="left"/>
    </xf>
    <xf numFmtId="0" fontId="6" fillId="0" borderId="0" xfId="0" applyFont="1" applyFill="1" applyProtection="1">
      <protection locked="0"/>
    </xf>
    <xf numFmtId="168" fontId="6" fillId="0" borderId="20" xfId="4" applyNumberFormat="1" applyFont="1" applyBorder="1" applyAlignment="1">
      <alignment horizontal="center"/>
    </xf>
    <xf numFmtId="168" fontId="6" fillId="0" borderId="18" xfId="4" applyNumberFormat="1" applyFont="1" applyBorder="1" applyAlignment="1">
      <alignment horizontal="center"/>
    </xf>
    <xf numFmtId="0" fontId="6" fillId="0" borderId="14" xfId="0" applyFont="1" applyBorder="1" applyAlignment="1">
      <alignment horizontal="center"/>
    </xf>
    <xf numFmtId="0" fontId="20" fillId="0" borderId="0" xfId="0" applyFont="1" applyAlignment="1">
      <alignment horizontal="center"/>
    </xf>
    <xf numFmtId="0" fontId="11" fillId="5" borderId="0" xfId="0" applyFont="1" applyFill="1" applyAlignment="1">
      <alignment horizontal="right"/>
    </xf>
    <xf numFmtId="167" fontId="11" fillId="5" borderId="0" xfId="0" applyNumberFormat="1" applyFont="1" applyFill="1" applyAlignment="1">
      <alignment horizontal="center"/>
    </xf>
    <xf numFmtId="0" fontId="11" fillId="2" borderId="0" xfId="0" applyFont="1" applyFill="1" applyAlignment="1" applyProtection="1">
      <alignment horizontal="center"/>
      <protection locked="0"/>
    </xf>
    <xf numFmtId="0" fontId="6" fillId="0" borderId="31" xfId="0" applyFont="1" applyBorder="1" applyAlignment="1">
      <alignment horizontal="center"/>
    </xf>
    <xf numFmtId="0" fontId="6" fillId="0" borderId="32" xfId="0" applyFont="1" applyBorder="1" applyAlignment="1">
      <alignment horizontal="center"/>
    </xf>
    <xf numFmtId="168" fontId="6" fillId="0" borderId="33" xfId="4" applyNumberFormat="1" applyFont="1" applyBorder="1" applyAlignment="1">
      <alignment horizontal="center"/>
    </xf>
    <xf numFmtId="0" fontId="6" fillId="0" borderId="34" xfId="0" applyFont="1" applyBorder="1" applyAlignment="1">
      <alignment horizontal="center"/>
    </xf>
    <xf numFmtId="0" fontId="6" fillId="0" borderId="30" xfId="0" applyFont="1" applyBorder="1" applyAlignment="1">
      <alignment horizontal="center"/>
    </xf>
    <xf numFmtId="0" fontId="6" fillId="0" borderId="18" xfId="0" applyFont="1" applyBorder="1" applyAlignment="1">
      <alignment horizontal="center"/>
    </xf>
    <xf numFmtId="0" fontId="6" fillId="0" borderId="20" xfId="0" applyFont="1" applyBorder="1" applyAlignment="1">
      <alignment horizontal="center"/>
    </xf>
    <xf numFmtId="0" fontId="6" fillId="0" borderId="33" xfId="0" applyFont="1" applyBorder="1" applyAlignment="1">
      <alignment horizontal="center"/>
    </xf>
    <xf numFmtId="0" fontId="6" fillId="0" borderId="35" xfId="0" applyFont="1" applyBorder="1" applyAlignment="1">
      <alignment horizontal="center"/>
    </xf>
    <xf numFmtId="0" fontId="6" fillId="0" borderId="4" xfId="0" applyFont="1" applyBorder="1" applyAlignment="1">
      <alignment horizontal="center"/>
    </xf>
    <xf numFmtId="0" fontId="6" fillId="0" borderId="6" xfId="0" applyFont="1" applyBorder="1" applyAlignment="1">
      <alignment horizontal="center"/>
    </xf>
    <xf numFmtId="0" fontId="6" fillId="0" borderId="36" xfId="0" applyFont="1" applyFill="1" applyBorder="1" applyAlignment="1">
      <alignment horizontal="center"/>
    </xf>
    <xf numFmtId="0" fontId="6" fillId="0" borderId="37" xfId="0" applyFont="1" applyFill="1" applyBorder="1" applyAlignment="1">
      <alignment horizontal="center"/>
    </xf>
    <xf numFmtId="0" fontId="6" fillId="0" borderId="38" xfId="0" applyFont="1" applyBorder="1" applyAlignment="1">
      <alignment horizontal="center"/>
    </xf>
    <xf numFmtId="0" fontId="6" fillId="0" borderId="39" xfId="0" applyFont="1" applyFill="1" applyBorder="1" applyAlignment="1">
      <alignment horizontal="center"/>
    </xf>
    <xf numFmtId="9" fontId="6" fillId="0" borderId="2" xfId="4" applyFont="1" applyBorder="1" applyAlignment="1">
      <alignment horizontal="center"/>
    </xf>
    <xf numFmtId="9" fontId="6" fillId="0" borderId="4" xfId="4" applyFont="1" applyBorder="1" applyAlignment="1">
      <alignment horizontal="center"/>
    </xf>
    <xf numFmtId="9" fontId="6" fillId="0" borderId="5" xfId="4" applyFont="1" applyBorder="1" applyAlignment="1">
      <alignment horizontal="center"/>
    </xf>
    <xf numFmtId="9" fontId="6" fillId="0" borderId="6" xfId="4" applyFont="1" applyBorder="1" applyAlignment="1">
      <alignment horizontal="center"/>
    </xf>
    <xf numFmtId="9" fontId="6" fillId="0" borderId="31" xfId="4" applyFont="1" applyBorder="1" applyAlignment="1">
      <alignment horizontal="center"/>
    </xf>
    <xf numFmtId="9" fontId="6" fillId="0" borderId="40" xfId="4" applyFont="1" applyBorder="1" applyAlignment="1">
      <alignment horizontal="center"/>
    </xf>
    <xf numFmtId="0" fontId="17" fillId="0" borderId="0" xfId="0" applyFont="1" applyAlignment="1"/>
    <xf numFmtId="0" fontId="6" fillId="0" borderId="0" xfId="0" applyFont="1" applyProtection="1">
      <protection hidden="1"/>
    </xf>
    <xf numFmtId="0" fontId="6" fillId="0" borderId="41" xfId="0" applyFont="1" applyBorder="1" applyAlignment="1">
      <alignment horizontal="center"/>
    </xf>
    <xf numFmtId="0" fontId="6" fillId="0" borderId="40" xfId="0" applyFont="1" applyBorder="1" applyAlignment="1">
      <alignment horizontal="center"/>
    </xf>
    <xf numFmtId="0" fontId="6" fillId="0" borderId="14" xfId="0" applyFont="1" applyFill="1" applyBorder="1" applyAlignment="1">
      <alignment horizontal="center"/>
    </xf>
    <xf numFmtId="0" fontId="6" fillId="0" borderId="42" xfId="0" applyFont="1" applyBorder="1" applyAlignment="1">
      <alignment horizontal="center"/>
    </xf>
    <xf numFmtId="0" fontId="6" fillId="0" borderId="16" xfId="0" applyFont="1" applyBorder="1" applyAlignment="1">
      <alignment horizontal="center"/>
    </xf>
    <xf numFmtId="0" fontId="6" fillId="0" borderId="15" xfId="0" applyFont="1" applyBorder="1" applyAlignment="1">
      <alignment horizontal="center"/>
    </xf>
    <xf numFmtId="0" fontId="6" fillId="0" borderId="43" xfId="0" applyFont="1" applyBorder="1" applyAlignment="1">
      <alignment horizontal="center"/>
    </xf>
    <xf numFmtId="9" fontId="6" fillId="0" borderId="42" xfId="4" applyFont="1" applyBorder="1" applyAlignment="1">
      <alignment horizontal="center"/>
    </xf>
    <xf numFmtId="9" fontId="6" fillId="0" borderId="17" xfId="4" applyFont="1" applyBorder="1" applyAlignment="1">
      <alignment horizontal="center"/>
    </xf>
    <xf numFmtId="168" fontId="6" fillId="0" borderId="14" xfId="0" applyNumberFormat="1" applyFont="1" applyBorder="1" applyAlignment="1">
      <alignment horizontal="center"/>
    </xf>
    <xf numFmtId="0" fontId="6" fillId="0" borderId="0" xfId="0" applyFont="1" applyAlignment="1">
      <alignment horizontal="left"/>
    </xf>
    <xf numFmtId="0" fontId="6" fillId="0" borderId="44" xfId="0" applyFont="1" applyFill="1" applyBorder="1" applyAlignment="1">
      <alignment horizontal="left"/>
    </xf>
    <xf numFmtId="167" fontId="0" fillId="4" borderId="0" xfId="0" applyNumberFormat="1" applyFill="1" applyProtection="1">
      <protection locked="0"/>
    </xf>
    <xf numFmtId="0" fontId="6" fillId="0" borderId="44" xfId="0" applyFont="1" applyFill="1" applyBorder="1" applyAlignment="1">
      <alignment horizontal="center"/>
    </xf>
    <xf numFmtId="0" fontId="6" fillId="0" borderId="25" xfId="0" applyFont="1" applyBorder="1" applyAlignment="1">
      <alignment horizontal="left"/>
    </xf>
    <xf numFmtId="0" fontId="6" fillId="0" borderId="45" xfId="0" applyFont="1" applyFill="1" applyBorder="1" applyAlignment="1">
      <alignment horizontal="left"/>
    </xf>
    <xf numFmtId="0" fontId="6" fillId="4" borderId="0" xfId="0" applyFont="1" applyFill="1" applyAlignment="1" applyProtection="1">
      <alignment horizontal="left"/>
      <protection locked="0"/>
    </xf>
    <xf numFmtId="168" fontId="0" fillId="0" borderId="0" xfId="0" applyNumberFormat="1" applyFill="1" applyAlignment="1" applyProtection="1">
      <alignment horizontal="left"/>
    </xf>
    <xf numFmtId="0" fontId="20" fillId="0" borderId="0" xfId="0" applyFont="1" applyBorder="1"/>
    <xf numFmtId="0" fontId="20" fillId="0" borderId="0" xfId="0" applyFont="1" applyBorder="1" applyAlignment="1">
      <alignment horizontal="right"/>
    </xf>
    <xf numFmtId="0" fontId="20" fillId="0" borderId="0" xfId="0" applyFont="1" applyBorder="1" applyAlignment="1">
      <alignment horizontal="center"/>
    </xf>
    <xf numFmtId="0" fontId="23" fillId="0" borderId="0" xfId="0" applyFont="1" applyBorder="1"/>
    <xf numFmtId="0" fontId="19" fillId="0" borderId="0" xfId="3" applyBorder="1" applyAlignment="1" applyProtection="1"/>
    <xf numFmtId="1" fontId="1" fillId="0" borderId="16" xfId="0" applyNumberFormat="1" applyFont="1" applyBorder="1" applyAlignment="1">
      <alignment horizontal="center"/>
    </xf>
    <xf numFmtId="2" fontId="1" fillId="0" borderId="19" xfId="0" applyNumberFormat="1" applyFont="1" applyBorder="1" applyAlignment="1">
      <alignment horizontal="center"/>
    </xf>
    <xf numFmtId="0" fontId="1" fillId="0" borderId="20" xfId="0" applyFont="1" applyBorder="1" applyAlignment="1">
      <alignment horizontal="center"/>
    </xf>
    <xf numFmtId="1" fontId="0" fillId="0" borderId="17" xfId="0" applyNumberFormat="1" applyBorder="1" applyAlignment="1">
      <alignment horizontal="center"/>
    </xf>
    <xf numFmtId="2" fontId="0" fillId="0" borderId="21" xfId="0" applyNumberFormat="1" applyBorder="1" applyAlignment="1">
      <alignment horizontal="center"/>
    </xf>
    <xf numFmtId="0" fontId="0" fillId="0" borderId="46" xfId="0" applyBorder="1" applyAlignment="1">
      <alignment horizontal="center"/>
    </xf>
    <xf numFmtId="2" fontId="0" fillId="0" borderId="22" xfId="0" applyNumberFormat="1" applyBorder="1" applyAlignment="1">
      <alignment horizontal="center"/>
    </xf>
    <xf numFmtId="2" fontId="0" fillId="0" borderId="23" xfId="0" applyNumberFormat="1" applyBorder="1" applyAlignment="1">
      <alignment horizontal="center"/>
    </xf>
    <xf numFmtId="0" fontId="1" fillId="0" borderId="0" xfId="0" applyFont="1" applyAlignment="1">
      <alignment horizontal="right"/>
    </xf>
    <xf numFmtId="1" fontId="0" fillId="0" borderId="0" xfId="0" applyNumberFormat="1" applyFill="1" applyAlignment="1" applyProtection="1">
      <alignment horizontal="center"/>
      <protection locked="0"/>
    </xf>
    <xf numFmtId="0" fontId="2" fillId="6" borderId="0" xfId="0" applyFont="1" applyFill="1"/>
    <xf numFmtId="0" fontId="0" fillId="6" borderId="0" xfId="0" applyFill="1" applyAlignment="1">
      <alignment horizontal="center"/>
    </xf>
    <xf numFmtId="0" fontId="0" fillId="6" borderId="0" xfId="0" applyFill="1"/>
    <xf numFmtId="0" fontId="2" fillId="6" borderId="0" xfId="0" applyFont="1" applyFill="1" applyBorder="1" applyAlignment="1">
      <alignment vertical="top"/>
    </xf>
    <xf numFmtId="0" fontId="26" fillId="6" borderId="0" xfId="0" applyFont="1" applyFill="1" applyBorder="1" applyAlignment="1">
      <alignment horizontal="center" vertical="center"/>
    </xf>
    <xf numFmtId="9" fontId="0" fillId="6" borderId="0" xfId="0" applyNumberFormat="1" applyFill="1" applyAlignment="1">
      <alignment horizontal="center"/>
    </xf>
    <xf numFmtId="0" fontId="26" fillId="6" borderId="0" xfId="0" applyFont="1" applyFill="1" applyBorder="1" applyAlignment="1">
      <alignment vertical="center"/>
    </xf>
    <xf numFmtId="1" fontId="0" fillId="6" borderId="0" xfId="0" applyNumberFormat="1" applyFill="1" applyAlignment="1">
      <alignment horizontal="center"/>
    </xf>
    <xf numFmtId="2" fontId="26" fillId="6" borderId="0" xfId="0" applyNumberFormat="1" applyFont="1" applyFill="1" applyBorder="1" applyAlignment="1">
      <alignment horizontal="center" vertical="center"/>
    </xf>
    <xf numFmtId="2" fontId="2" fillId="6" borderId="0" xfId="0" applyNumberFormat="1" applyFont="1" applyFill="1"/>
    <xf numFmtId="0" fontId="1" fillId="0" borderId="0" xfId="0" applyFont="1" applyFill="1"/>
    <xf numFmtId="0" fontId="2" fillId="0" borderId="49" xfId="0" applyFont="1" applyFill="1" applyBorder="1" applyAlignment="1">
      <alignment horizontal="center"/>
    </xf>
    <xf numFmtId="0" fontId="2" fillId="0" borderId="0" xfId="0" applyFont="1" applyFill="1" applyBorder="1" applyAlignment="1">
      <alignment horizontal="center"/>
    </xf>
    <xf numFmtId="168" fontId="2" fillId="0" borderId="50" xfId="0" applyNumberFormat="1" applyFont="1" applyFill="1" applyBorder="1" applyAlignment="1">
      <alignment horizontal="center"/>
    </xf>
    <xf numFmtId="0" fontId="2" fillId="0" borderId="0" xfId="0" applyFont="1"/>
    <xf numFmtId="9" fontId="11" fillId="0" borderId="0" xfId="0" applyNumberFormat="1" applyFont="1"/>
    <xf numFmtId="0" fontId="10" fillId="6" borderId="0" xfId="0" applyFont="1" applyFill="1"/>
    <xf numFmtId="0" fontId="11" fillId="6" borderId="0" xfId="0" applyFont="1" applyFill="1"/>
    <xf numFmtId="165" fontId="11" fillId="6" borderId="0" xfId="2" applyFont="1" applyFill="1" applyProtection="1">
      <protection locked="0"/>
    </xf>
    <xf numFmtId="165" fontId="11" fillId="6" borderId="0" xfId="2" applyFont="1" applyFill="1"/>
    <xf numFmtId="165" fontId="11" fillId="6" borderId="0" xfId="0" applyNumberFormat="1" applyFont="1" applyFill="1"/>
    <xf numFmtId="44" fontId="11" fillId="0" borderId="0" xfId="0" applyNumberFormat="1" applyFont="1"/>
    <xf numFmtId="0" fontId="11" fillId="6" borderId="0" xfId="0" applyFont="1" applyFill="1" applyProtection="1">
      <protection locked="0"/>
    </xf>
    <xf numFmtId="165" fontId="10" fillId="6" borderId="0" xfId="2" applyNumberFormat="1" applyFont="1" applyFill="1"/>
    <xf numFmtId="165" fontId="0" fillId="6" borderId="0" xfId="2" applyFont="1" applyFill="1"/>
    <xf numFmtId="44" fontId="0" fillId="6" borderId="0" xfId="0" applyNumberFormat="1" applyFill="1"/>
    <xf numFmtId="165" fontId="0" fillId="6" borderId="0" xfId="2" applyFont="1" applyFill="1" applyAlignment="1">
      <alignment horizontal="right" vertical="center"/>
    </xf>
    <xf numFmtId="165" fontId="0" fillId="6" borderId="0" xfId="0" applyNumberFormat="1" applyFill="1"/>
    <xf numFmtId="2" fontId="0" fillId="6" borderId="0" xfId="0" applyNumberFormat="1" applyFill="1" applyAlignment="1">
      <alignment horizontal="center"/>
    </xf>
    <xf numFmtId="0" fontId="27" fillId="0" borderId="1" xfId="0" applyFont="1" applyBorder="1" applyAlignment="1">
      <alignment horizontal="center" vertical="center" wrapText="1"/>
    </xf>
    <xf numFmtId="0" fontId="29" fillId="0" borderId="1" xfId="0" applyFont="1" applyBorder="1" applyAlignment="1">
      <alignment horizontal="right" vertical="center" wrapText="1"/>
    </xf>
    <xf numFmtId="0" fontId="28" fillId="0" borderId="1" xfId="0" applyFont="1" applyBorder="1" applyAlignment="1">
      <alignment horizontal="right" vertical="center"/>
    </xf>
    <xf numFmtId="0" fontId="28" fillId="0" borderId="1" xfId="0" applyFont="1" applyBorder="1" applyAlignment="1">
      <alignment horizontal="right" vertical="center" wrapText="1"/>
    </xf>
    <xf numFmtId="0" fontId="28" fillId="0" borderId="0" xfId="0" applyFont="1" applyBorder="1" applyAlignment="1">
      <alignment horizontal="right" vertical="center"/>
    </xf>
    <xf numFmtId="0" fontId="29" fillId="0" borderId="0" xfId="0" applyFont="1"/>
    <xf numFmtId="167" fontId="29" fillId="0" borderId="0" xfId="0" applyNumberFormat="1" applyFont="1"/>
    <xf numFmtId="0" fontId="19" fillId="0" borderId="45" xfId="3" applyBorder="1" applyAlignment="1" applyProtection="1">
      <alignment horizontal="center"/>
    </xf>
    <xf numFmtId="0" fontId="19" fillId="0" borderId="47" xfId="3" applyBorder="1" applyAlignment="1" applyProtection="1">
      <alignment horizontal="center"/>
    </xf>
    <xf numFmtId="0" fontId="19" fillId="0" borderId="48" xfId="3" applyBorder="1" applyAlignment="1" applyProtection="1">
      <alignment horizontal="center"/>
    </xf>
    <xf numFmtId="0" fontId="20" fillId="0" borderId="1" xfId="0" applyFont="1" applyBorder="1" applyAlignment="1">
      <alignment horizontal="center"/>
    </xf>
    <xf numFmtId="0" fontId="6" fillId="0" borderId="45" xfId="0" applyFont="1" applyBorder="1" applyAlignment="1">
      <alignment horizontal="center"/>
    </xf>
    <xf numFmtId="0" fontId="6" fillId="0" borderId="47" xfId="0" applyFont="1" applyBorder="1" applyAlignment="1">
      <alignment horizontal="center"/>
    </xf>
    <xf numFmtId="0" fontId="6" fillId="0" borderId="48" xfId="0" applyFont="1" applyBorder="1" applyAlignment="1">
      <alignment horizontal="center"/>
    </xf>
    <xf numFmtId="0" fontId="0" fillId="0" borderId="45" xfId="0" applyBorder="1" applyAlignment="1">
      <alignment horizontal="center"/>
    </xf>
    <xf numFmtId="0" fontId="0" fillId="0" borderId="47" xfId="0" applyBorder="1" applyAlignment="1">
      <alignment horizontal="center"/>
    </xf>
    <xf numFmtId="0" fontId="0" fillId="0" borderId="48" xfId="0" applyBorder="1" applyAlignment="1">
      <alignment horizontal="center"/>
    </xf>
    <xf numFmtId="0" fontId="28" fillId="0" borderId="1" xfId="0" applyFont="1" applyBorder="1" applyAlignment="1">
      <alignment vertical="center" wrapText="1"/>
    </xf>
    <xf numFmtId="0" fontId="27" fillId="0" borderId="1" xfId="0" applyFont="1" applyBorder="1" applyAlignment="1">
      <alignment horizontal="center" vertical="center" wrapText="1"/>
    </xf>
    <xf numFmtId="0" fontId="19" fillId="0" borderId="0" xfId="3" applyBorder="1" applyAlignment="1" applyProtection="1">
      <alignment horizontal="center"/>
    </xf>
  </cellXfs>
  <cellStyles count="5">
    <cellStyle name="Comma" xfId="1" builtinId="3"/>
    <cellStyle name="Currency" xfId="2" builtinId="4"/>
    <cellStyle name="Hyperlink" xfId="3" builtinId="8"/>
    <cellStyle name="Normal" xfId="0" builtinId="0"/>
    <cellStyle name="Percent" xfId="4" builtinId="5"/>
  </cellStyles>
  <dxfs count="2">
    <dxf>
      <font>
        <b/>
        <i val="0"/>
        <strike val="0"/>
        <condense val="0"/>
        <extend val="0"/>
        <color indexed="9"/>
      </font>
      <fill>
        <patternFill>
          <bgColor indexed="33"/>
        </patternFill>
      </fill>
    </dxf>
    <dxf>
      <font>
        <b/>
        <i val="0"/>
        <strike val="0"/>
        <condense val="0"/>
        <extend val="0"/>
        <u/>
        <color indexed="9"/>
      </font>
      <fill>
        <patternFill>
          <bgColor indexed="5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ofPieChart>
        <c:ofPieType val="pie"/>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3D8-4FAE-8922-CFF3211CC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3D8-4FAE-8922-CFF3211CC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3D8-4FAE-8922-CFF3211CC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3D8-4FAE-8922-CFF3211CC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3D8-4FAE-8922-CFF3211CC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3D8-4FAE-8922-CFF3211CC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3D8-4FAE-8922-CFF3211CC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3D8-4FAE-8922-CFF3211CC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3D8-4FAE-8922-CFF3211CC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3D8-4FAE-8922-CFF3211CC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3D8-4FAE-8922-CFF3211CC63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3D8-4FAE-8922-CFF3211CC632}"/>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3D8-4FAE-8922-CFF3211CC632}"/>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3D8-4FAE-8922-CFF3211CC632}"/>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3D8-4FAE-8922-CFF3211CC632}"/>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93D8-4FAE-8922-CFF3211CC632}"/>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93D8-4FAE-8922-CFF3211CC632}"/>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93D8-4FAE-8922-CFF3211CC632}"/>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93D8-4FAE-8922-CFF3211CC632}"/>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93D8-4FAE-8922-CFF3211CC632}"/>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93D8-4FAE-8922-CFF3211CC632}"/>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93D8-4FAE-8922-CFF3211CC632}"/>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93D8-4FAE-8922-CFF3211CC632}"/>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93D8-4FAE-8922-CFF3211CC632}"/>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93D8-4FAE-8922-CFF3211CC632}"/>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93D8-4FAE-8922-CFF3211CC632}"/>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93D8-4FAE-8922-CFF3211CC632}"/>
              </c:ext>
            </c:extLst>
          </c:dPt>
          <c:cat>
            <c:strRef>
              <c:f>Country!$I$16:$I$41</c:f>
              <c:strCache>
                <c:ptCount val="26"/>
                <c:pt idx="0">
                  <c:v>Cotton</c:v>
                </c:pt>
                <c:pt idx="1">
                  <c:v>Nylon</c:v>
                </c:pt>
                <c:pt idx="2">
                  <c:v>Plastic</c:v>
                </c:pt>
                <c:pt idx="3">
                  <c:v>Polythene</c:v>
                </c:pt>
                <c:pt idx="4">
                  <c:v>PVC</c:v>
                </c:pt>
                <c:pt idx="5">
                  <c:v>Rubber</c:v>
                </c:pt>
                <c:pt idx="6">
                  <c:v>News Paper</c:v>
                </c:pt>
                <c:pt idx="7">
                  <c:v>Cardboards</c:v>
                </c:pt>
                <c:pt idx="8">
                  <c:v>Construction Demolitions</c:v>
                </c:pt>
                <c:pt idx="9">
                  <c:v>Glass</c:v>
                </c:pt>
                <c:pt idx="10">
                  <c:v>E-Waste</c:v>
                </c:pt>
                <c:pt idx="11">
                  <c:v>Others</c:v>
                </c:pt>
                <c:pt idx="12">
                  <c:v>Clinical Waste</c:v>
                </c:pt>
                <c:pt idx="13">
                  <c:v>Organic</c:v>
                </c:pt>
                <c:pt idx="14">
                  <c:v>Food</c:v>
                </c:pt>
                <c:pt idx="15">
                  <c:v>Coconut Husks</c:v>
                </c:pt>
                <c:pt idx="16">
                  <c:v>Coconut Shells</c:v>
                </c:pt>
                <c:pt idx="17">
                  <c:v>Coconut Comb</c:v>
                </c:pt>
                <c:pt idx="18">
                  <c:v>Coconut Fibre</c:v>
                </c:pt>
                <c:pt idx="19">
                  <c:v>Bones</c:v>
                </c:pt>
                <c:pt idx="20">
                  <c:v>Garden Waste</c:v>
                </c:pt>
                <c:pt idx="21">
                  <c:v>Wood</c:v>
                </c:pt>
                <c:pt idx="22">
                  <c:v>Vegetable Residues</c:v>
                </c:pt>
                <c:pt idx="23">
                  <c:v>Fish and Meat</c:v>
                </c:pt>
                <c:pt idx="24">
                  <c:v>Fruit Residues</c:v>
                </c:pt>
                <c:pt idx="25">
                  <c:v>Kitchen</c:v>
                </c:pt>
              </c:strCache>
            </c:strRef>
          </c:cat>
          <c:val>
            <c:numRef>
              <c:f>Country!$J$16:$J$41</c:f>
              <c:numCache>
                <c:formatCode>0.000</c:formatCode>
                <c:ptCount val="26"/>
                <c:pt idx="0">
                  <c:v>1.7430000000000001</c:v>
                </c:pt>
                <c:pt idx="1">
                  <c:v>0.73</c:v>
                </c:pt>
                <c:pt idx="2">
                  <c:v>1.5960000000000001</c:v>
                </c:pt>
                <c:pt idx="3">
                  <c:v>8.1530000000000005</c:v>
                </c:pt>
                <c:pt idx="4">
                  <c:v>0.13400000000000001</c:v>
                </c:pt>
                <c:pt idx="5">
                  <c:v>0.13900000000000001</c:v>
                </c:pt>
                <c:pt idx="6">
                  <c:v>4.8079999999999998</c:v>
                </c:pt>
                <c:pt idx="7">
                  <c:v>1.2789999999999999</c:v>
                </c:pt>
                <c:pt idx="8">
                  <c:v>1.0289999999999999</c:v>
                </c:pt>
                <c:pt idx="9">
                  <c:v>0.94</c:v>
                </c:pt>
                <c:pt idx="10">
                  <c:v>4.8000000000000001E-2</c:v>
                </c:pt>
                <c:pt idx="11">
                  <c:v>0.108</c:v>
                </c:pt>
                <c:pt idx="12">
                  <c:v>3.4000000000000002E-2</c:v>
                </c:pt>
                <c:pt idx="13">
                  <c:v>79.259</c:v>
                </c:pt>
                <c:pt idx="14" formatCode="General">
                  <c:v>38</c:v>
                </c:pt>
                <c:pt idx="15" formatCode="General">
                  <c:v>8.3350000000000009</c:v>
                </c:pt>
                <c:pt idx="16" formatCode="General">
                  <c:v>0.73299999999999998</c:v>
                </c:pt>
                <c:pt idx="17" formatCode="General">
                  <c:v>5.7210000000000001</c:v>
                </c:pt>
                <c:pt idx="18" formatCode="General">
                  <c:v>0.82199999999999995</c:v>
                </c:pt>
                <c:pt idx="19" formatCode="General">
                  <c:v>3.0000000000000001E-3</c:v>
                </c:pt>
                <c:pt idx="20" formatCode="General">
                  <c:v>16.602</c:v>
                </c:pt>
                <c:pt idx="21" formatCode="General">
                  <c:v>2.0489999999999999</c:v>
                </c:pt>
                <c:pt idx="22" formatCode="General">
                  <c:v>3.0459999999999998</c:v>
                </c:pt>
                <c:pt idx="23" formatCode="General">
                  <c:v>2.1999999999999999E-2</c:v>
                </c:pt>
                <c:pt idx="24" formatCode="General">
                  <c:v>3.7029999999999998</c:v>
                </c:pt>
                <c:pt idx="25" formatCode="General">
                  <c:v>0.223</c:v>
                </c:pt>
              </c:numCache>
            </c:numRef>
          </c:val>
          <c:extLst>
            <c:ext xmlns:c16="http://schemas.microsoft.com/office/drawing/2014/chart" uri="{C3380CC4-5D6E-409C-BE32-E72D297353CC}">
              <c16:uniqueId val="{00000000-D12C-4235-A4B9-B80F75B53787}"/>
            </c:ext>
          </c:extLst>
        </c:ser>
        <c:dLbls>
          <c:showLegendKey val="0"/>
          <c:showVal val="0"/>
          <c:showCatName val="0"/>
          <c:showSerName val="0"/>
          <c:showPercent val="0"/>
          <c:showBubbleSize val="0"/>
          <c:showLeaderLines val="1"/>
        </c:dLbls>
        <c:gapWidth val="100"/>
        <c:splitType val="pos"/>
        <c:splitPos val="12"/>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sz="1200">
                <a:latin typeface="Times New Roman" panose="02020603050405020304" pitchFamily="18" charset="0"/>
                <a:cs typeface="Times New Roman" panose="02020603050405020304" pitchFamily="18" charset="0"/>
              </a:rPr>
              <a:t>Specific Gas Production Response Surface</a:t>
            </a:r>
          </a:p>
        </c:rich>
      </c:tx>
      <c:layout>
        <c:manualLayout>
          <c:xMode val="edge"/>
          <c:yMode val="edge"/>
          <c:x val="0.22043407099420179"/>
          <c:y val="2.8730000310539017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49"/>
          <c:h val="0.68145228375075095"/>
        </c:manualLayout>
      </c:layout>
      <c:surface3DChart>
        <c:wireframe val="0"/>
        <c:ser>
          <c:idx val="0"/>
          <c:order val="0"/>
          <c:tx>
            <c:strRef>
              <c:f>ResponseSurfaceVSRT!$B$42</c:f>
              <c:strCache>
                <c:ptCount val="1"/>
                <c:pt idx="0">
                  <c:v>3.9</c:v>
                </c:pt>
              </c:strCache>
            </c:strRef>
          </c:tx>
          <c:spPr>
            <a:sp3d prstMaterial="flat"/>
          </c:spPr>
          <c:cat>
            <c:numRef>
              <c:f>ResponseSurfaceVSRT!$C$41:$K$41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ResponseSurfaceVSRT!$C$42:$K$42</c:f>
              <c:numCache>
                <c:formatCode>0.00</c:formatCode>
                <c:ptCount val="9"/>
                <c:pt idx="0">
                  <c:v>0.91865115688823085</c:v>
                </c:pt>
                <c:pt idx="1">
                  <c:v>1.0383621548840232</c:v>
                </c:pt>
                <c:pt idx="2">
                  <c:v>1.13272622173279</c:v>
                </c:pt>
                <c:pt idx="3">
                  <c:v>1.1840836022942336</c:v>
                </c:pt>
                <c:pt idx="4">
                  <c:v>1.1706069741971969</c:v>
                </c:pt>
                <c:pt idx="5">
                  <c:v>1.0760306268629976</c:v>
                </c:pt>
                <c:pt idx="6">
                  <c:v>0.90594116584663398</c:v>
                </c:pt>
                <c:pt idx="7">
                  <c:v>0.6949847812338551</c:v>
                </c:pt>
                <c:pt idx="8">
                  <c:v>0.48984590086344704</c:v>
                </c:pt>
              </c:numCache>
            </c:numRef>
          </c:val>
          <c:extLst>
            <c:ext xmlns:c16="http://schemas.microsoft.com/office/drawing/2014/chart" uri="{C3380CC4-5D6E-409C-BE32-E72D297353CC}">
              <c16:uniqueId val="{00000000-D94F-4F74-A7AE-A80AAC097A0F}"/>
            </c:ext>
          </c:extLst>
        </c:ser>
        <c:ser>
          <c:idx val="1"/>
          <c:order val="1"/>
          <c:tx>
            <c:strRef>
              <c:f>ResponseSurfaceVSRT!$B$43</c:f>
              <c:strCache>
                <c:ptCount val="1"/>
                <c:pt idx="0">
                  <c:v>5.9</c:v>
                </c:pt>
              </c:strCache>
            </c:strRef>
          </c:tx>
          <c:spPr>
            <a:sp3d prstMaterial="flat"/>
          </c:spPr>
          <c:cat>
            <c:numRef>
              <c:f>ResponseSurfaceVSRT!$C$41:$K$41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ResponseSurfaceVSRT!$C$43:$K$43</c:f>
              <c:numCache>
                <c:formatCode>0.00</c:formatCode>
                <c:ptCount val="9"/>
                <c:pt idx="0">
                  <c:v>1.1184979473182126</c:v>
                </c:pt>
                <c:pt idx="1">
                  <c:v>1.2762074458892885</c:v>
                </c:pt>
                <c:pt idx="2">
                  <c:v>1.4149207766918546</c:v>
                </c:pt>
                <c:pt idx="3">
                  <c:v>1.519353922151977</c:v>
                </c:pt>
                <c:pt idx="4">
                  <c:v>1.5664611043451464</c:v>
                </c:pt>
                <c:pt idx="5">
                  <c:v>1.5287224091258576</c:v>
                </c:pt>
                <c:pt idx="6">
                  <c:v>1.3875471841453562</c:v>
                </c:pt>
                <c:pt idx="7">
                  <c:v>1.1539607229891993</c:v>
                </c:pt>
                <c:pt idx="8">
                  <c:v>0.87533107104019181</c:v>
                </c:pt>
              </c:numCache>
            </c:numRef>
          </c:val>
          <c:extLst>
            <c:ext xmlns:c16="http://schemas.microsoft.com/office/drawing/2014/chart" uri="{C3380CC4-5D6E-409C-BE32-E72D297353CC}">
              <c16:uniqueId val="{00000001-D94F-4F74-A7AE-A80AAC097A0F}"/>
            </c:ext>
          </c:extLst>
        </c:ser>
        <c:ser>
          <c:idx val="2"/>
          <c:order val="2"/>
          <c:tx>
            <c:strRef>
              <c:f>ResponseSurfaceVSRT!$B$44</c:f>
              <c:strCache>
                <c:ptCount val="1"/>
                <c:pt idx="0">
                  <c:v>7.9</c:v>
                </c:pt>
              </c:strCache>
            </c:strRef>
          </c:tx>
          <c:spPr>
            <a:sp3d prstMaterial="flat"/>
          </c:spPr>
          <c:cat>
            <c:numRef>
              <c:f>ResponseSurfaceVSRT!$C$41:$K$41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ResponseSurfaceVSRT!$C$44:$K$44</c:f>
              <c:numCache>
                <c:formatCode>0.00</c:formatCode>
                <c:ptCount val="9"/>
                <c:pt idx="0">
                  <c:v>0.99219313532739617</c:v>
                </c:pt>
                <c:pt idx="1">
                  <c:v>1.1365089943692475</c:v>
                </c:pt>
                <c:pt idx="2">
                  <c:v>1.2686632521328611</c:v>
                </c:pt>
                <c:pt idx="3">
                  <c:v>1.378292447159204</c:v>
                </c:pt>
                <c:pt idx="4">
                  <c:v>1.4485229262960826</c:v>
                </c:pt>
                <c:pt idx="5">
                  <c:v>1.4558946980964762</c:v>
                </c:pt>
                <c:pt idx="6">
                  <c:v>1.3767551724532185</c:v>
                </c:pt>
                <c:pt idx="7">
                  <c:v>1.2034887216971595</c:v>
                </c:pt>
                <c:pt idx="8">
                  <c:v>0.96114760582944669</c:v>
                </c:pt>
              </c:numCache>
            </c:numRef>
          </c:val>
          <c:extLst>
            <c:ext xmlns:c16="http://schemas.microsoft.com/office/drawing/2014/chart" uri="{C3380CC4-5D6E-409C-BE32-E72D297353CC}">
              <c16:uniqueId val="{00000002-D94F-4F74-A7AE-A80AAC097A0F}"/>
            </c:ext>
          </c:extLst>
        </c:ser>
        <c:ser>
          <c:idx val="3"/>
          <c:order val="3"/>
          <c:tx>
            <c:strRef>
              <c:f>ResponseSurfaceVSRT!$B$45</c:f>
              <c:strCache>
                <c:ptCount val="1"/>
                <c:pt idx="0">
                  <c:v>9.9</c:v>
                </c:pt>
              </c:strCache>
            </c:strRef>
          </c:tx>
          <c:spPr>
            <a:sp3d prstMaterial="flat"/>
          </c:spPr>
          <c:cat>
            <c:numRef>
              <c:f>ResponseSurfaceVSRT!$C$41:$K$41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ResponseSurfaceVSRT!$C$45:$K$45</c:f>
              <c:numCache>
                <c:formatCode>0.00</c:formatCode>
                <c:ptCount val="9"/>
                <c:pt idx="0">
                  <c:v>0.85995408983183586</c:v>
                </c:pt>
                <c:pt idx="1">
                  <c:v>0.98713347383123851</c:v>
                </c:pt>
                <c:pt idx="2">
                  <c:v>1.1060685235618506</c:v>
                </c:pt>
                <c:pt idx="3">
                  <c:v>1.2095130219613739</c:v>
                </c:pt>
                <c:pt idx="4">
                  <c:v>1.2851735525132941</c:v>
                </c:pt>
                <c:pt idx="5">
                  <c:v>1.3145690770479441</c:v>
                </c:pt>
                <c:pt idx="6">
                  <c:v>1.2756512017901152</c:v>
                </c:pt>
                <c:pt idx="7">
                  <c:v>1.1535107970059393</c:v>
                </c:pt>
                <c:pt idx="8">
                  <c:v>0.95706714058103093</c:v>
                </c:pt>
              </c:numCache>
            </c:numRef>
          </c:val>
          <c:extLst>
            <c:ext xmlns:c16="http://schemas.microsoft.com/office/drawing/2014/chart" uri="{C3380CC4-5D6E-409C-BE32-E72D297353CC}">
              <c16:uniqueId val="{00000003-D94F-4F74-A7AE-A80AAC097A0F}"/>
            </c:ext>
          </c:extLst>
        </c:ser>
        <c:ser>
          <c:idx val="4"/>
          <c:order val="4"/>
          <c:tx>
            <c:strRef>
              <c:f>ResponseSurfaceVSRT!$B$46</c:f>
              <c:strCache>
                <c:ptCount val="1"/>
                <c:pt idx="0">
                  <c:v>11.9</c:v>
                </c:pt>
              </c:strCache>
            </c:strRef>
          </c:tx>
          <c:spPr>
            <a:sp3d prstMaterial="flat"/>
          </c:spPr>
          <c:cat>
            <c:numRef>
              <c:f>ResponseSurfaceVSRT!$C$41:$K$41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ResponseSurfaceVSRT!$C$46:$K$46</c:f>
              <c:numCache>
                <c:formatCode>0.00</c:formatCode>
                <c:ptCount val="9"/>
                <c:pt idx="0">
                  <c:v>0.75112859785443087</c:v>
                </c:pt>
                <c:pt idx="1">
                  <c:v>0.86337072998600894</c:v>
                </c:pt>
                <c:pt idx="2">
                  <c:v>0.96970041268516416</c:v>
                </c:pt>
                <c:pt idx="3">
                  <c:v>1.0648193960800347</c:v>
                </c:pt>
                <c:pt idx="4">
                  <c:v>1.1395052523400369</c:v>
                </c:pt>
                <c:pt idx="5">
                  <c:v>1.1792118404598662</c:v>
                </c:pt>
                <c:pt idx="6">
                  <c:v>1.16482854118488</c:v>
                </c:pt>
                <c:pt idx="7">
                  <c:v>1.0794417333320909</c:v>
                </c:pt>
                <c:pt idx="8">
                  <c:v>0.92235979979024485</c:v>
                </c:pt>
              </c:numCache>
            </c:numRef>
          </c:val>
          <c:extLst>
            <c:ext xmlns:c16="http://schemas.microsoft.com/office/drawing/2014/chart" uri="{C3380CC4-5D6E-409C-BE32-E72D297353CC}">
              <c16:uniqueId val="{00000004-D94F-4F74-A7AE-A80AAC097A0F}"/>
            </c:ext>
          </c:extLst>
        </c:ser>
        <c:ser>
          <c:idx val="5"/>
          <c:order val="5"/>
          <c:tx>
            <c:strRef>
              <c:f>ResponseSurfaceVSRT!$B$47</c:f>
              <c:strCache>
                <c:ptCount val="1"/>
                <c:pt idx="0">
                  <c:v>13.9</c:v>
                </c:pt>
              </c:strCache>
            </c:strRef>
          </c:tx>
          <c:spPr>
            <a:sp3d prstMaterial="flat"/>
          </c:spPr>
          <c:cat>
            <c:numRef>
              <c:f>ResponseSurfaceVSRT!$C$41:$K$41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ResponseSurfaceVSRT!$C$47:$K$47</c:f>
              <c:numCache>
                <c:formatCode>0.00</c:formatCode>
                <c:ptCount val="9"/>
                <c:pt idx="0">
                  <c:v>0.66405935830008866</c:v>
                </c:pt>
                <c:pt idx="1">
                  <c:v>0.76399520075011851</c:v>
                </c:pt>
                <c:pt idx="2">
                  <c:v>0.85949747675191113</c:v>
                </c:pt>
                <c:pt idx="3">
                  <c:v>0.94654015938320368</c:v>
                </c:pt>
                <c:pt idx="4">
                  <c:v>1.017991067852493</c:v>
                </c:pt>
                <c:pt idx="5">
                  <c:v>1.0622282209024951</c:v>
                </c:pt>
                <c:pt idx="6">
                  <c:v>1.062984594686452</c:v>
                </c:pt>
                <c:pt idx="7">
                  <c:v>1.0035346439177144</c:v>
                </c:pt>
                <c:pt idx="8">
                  <c:v>0.87779635962862912</c:v>
                </c:pt>
              </c:numCache>
            </c:numRef>
          </c:val>
          <c:extLst>
            <c:ext xmlns:c16="http://schemas.microsoft.com/office/drawing/2014/chart" uri="{C3380CC4-5D6E-409C-BE32-E72D297353CC}">
              <c16:uniqueId val="{00000005-D94F-4F74-A7AE-A80AAC097A0F}"/>
            </c:ext>
          </c:extLst>
        </c:ser>
        <c:ser>
          <c:idx val="6"/>
          <c:order val="6"/>
          <c:tx>
            <c:strRef>
              <c:f>ResponseSurfaceVSRT!$B$48</c:f>
              <c:strCache>
                <c:ptCount val="1"/>
                <c:pt idx="0">
                  <c:v>15.9</c:v>
                </c:pt>
              </c:strCache>
            </c:strRef>
          </c:tx>
          <c:spPr>
            <a:sp3d prstMaterial="flat"/>
          </c:spPr>
          <c:cat>
            <c:numRef>
              <c:f>ResponseSurfaceVSRT!$C$41:$K$41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ResponseSurfaceVSRT!$C$48:$K$48</c:f>
              <c:numCache>
                <c:formatCode>0.00</c:formatCode>
                <c:ptCount val="9"/>
                <c:pt idx="0">
                  <c:v>0.59392729423335255</c:v>
                </c:pt>
                <c:pt idx="1">
                  <c:v>0.68376926057597343</c:v>
                </c:pt>
                <c:pt idx="2">
                  <c:v>0.77016858564266122</c:v>
                </c:pt>
                <c:pt idx="3">
                  <c:v>0.84996876791025577</c:v>
                </c:pt>
                <c:pt idx="4">
                  <c:v>0.91750602506443701</c:v>
                </c:pt>
                <c:pt idx="5">
                  <c:v>0.96333063326389778</c:v>
                </c:pt>
                <c:pt idx="6">
                  <c:v>0.97360680835161062</c:v>
                </c:pt>
                <c:pt idx="7">
                  <c:v>0.93264183380057886</c:v>
                </c:pt>
                <c:pt idx="8">
                  <c:v>0.83147522583661793</c:v>
                </c:pt>
              </c:numCache>
            </c:numRef>
          </c:val>
          <c:extLst>
            <c:ext xmlns:c16="http://schemas.microsoft.com/office/drawing/2014/chart" uri="{C3380CC4-5D6E-409C-BE32-E72D297353CC}">
              <c16:uniqueId val="{00000006-D94F-4F74-A7AE-A80AAC097A0F}"/>
            </c:ext>
          </c:extLst>
        </c:ser>
        <c:ser>
          <c:idx val="7"/>
          <c:order val="7"/>
          <c:tx>
            <c:strRef>
              <c:f>ResponseSurfaceVSRT!$B$49</c:f>
              <c:strCache>
                <c:ptCount val="1"/>
                <c:pt idx="0">
                  <c:v>17.9</c:v>
                </c:pt>
              </c:strCache>
            </c:strRef>
          </c:tx>
          <c:spPr>
            <a:sp3d prstMaterial="flat"/>
          </c:spPr>
          <c:cat>
            <c:numRef>
              <c:f>ResponseSurfaceVSRT!$C$41:$K$41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ResponseSurfaceVSRT!$C$49:$K$49</c:f>
              <c:numCache>
                <c:formatCode>0.00</c:formatCode>
                <c:ptCount val="9"/>
                <c:pt idx="0">
                  <c:v>0.53663190223998125</c:v>
                </c:pt>
                <c:pt idx="1">
                  <c:v>0.61812422725259764</c:v>
                </c:pt>
                <c:pt idx="2">
                  <c:v>0.69686830704442959</c:v>
                </c:pt>
                <c:pt idx="3">
                  <c:v>0.77032576275167974</c:v>
                </c:pt>
                <c:pt idx="4">
                  <c:v>0.83389740050594796</c:v>
                </c:pt>
                <c:pt idx="5">
                  <c:v>0.87977105331647476</c:v>
                </c:pt>
                <c:pt idx="6">
                  <c:v>0.8961157670293044</c:v>
                </c:pt>
                <c:pt idx="7">
                  <c:v>0.86853807931715632</c:v>
                </c:pt>
                <c:pt idx="8">
                  <c:v>0.78666779373695939</c:v>
                </c:pt>
              </c:numCache>
            </c:numRef>
          </c:val>
          <c:extLst>
            <c:ext xmlns:c16="http://schemas.microsoft.com/office/drawing/2014/chart" uri="{C3380CC4-5D6E-409C-BE32-E72D297353CC}">
              <c16:uniqueId val="{00000007-D94F-4F74-A7AE-A80AAC097A0F}"/>
            </c:ext>
          </c:extLst>
        </c:ser>
        <c:ser>
          <c:idx val="8"/>
          <c:order val="8"/>
          <c:tx>
            <c:strRef>
              <c:f>ResponseSurfaceVSRT!$B$50</c:f>
              <c:strCache>
                <c:ptCount val="1"/>
                <c:pt idx="0">
                  <c:v>19.9</c:v>
                </c:pt>
              </c:strCache>
            </c:strRef>
          </c:tx>
          <c:spPr>
            <a:sp3d prstMaterial="flat"/>
          </c:spPr>
          <c:cat>
            <c:numRef>
              <c:f>ResponseSurfaceVSRT!$C$41:$K$41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ResponseSurfaceVSRT!$C$50:$K$50</c:f>
              <c:numCache>
                <c:formatCode>0.00</c:formatCode>
                <c:ptCount val="9"/>
                <c:pt idx="0">
                  <c:v>0.4891172419954693</c:v>
                </c:pt>
                <c:pt idx="1">
                  <c:v>0.56362188623971865</c:v>
                </c:pt>
                <c:pt idx="2">
                  <c:v>0.63588294887155372</c:v>
                </c:pt>
                <c:pt idx="3">
                  <c:v>0.70381618946074853</c:v>
                </c:pt>
                <c:pt idx="4">
                  <c:v>0.76361625668406641</c:v>
                </c:pt>
                <c:pt idx="5">
                  <c:v>0.80872791826025814</c:v>
                </c:pt>
                <c:pt idx="6">
                  <c:v>0.82895920761735598</c:v>
                </c:pt>
                <c:pt idx="7">
                  <c:v>0.81123631902312932</c:v>
                </c:pt>
                <c:pt idx="8">
                  <c:v>0.74463525569636935</c:v>
                </c:pt>
              </c:numCache>
            </c:numRef>
          </c:val>
          <c:extLst>
            <c:ext xmlns:c16="http://schemas.microsoft.com/office/drawing/2014/chart" uri="{C3380CC4-5D6E-409C-BE32-E72D297353CC}">
              <c16:uniqueId val="{00000008-D94F-4F74-A7AE-A80AAC097A0F}"/>
            </c:ext>
          </c:extLst>
        </c:ser>
        <c:bandFmts>
          <c:bandFmt>
            <c:idx val="0"/>
            <c:spPr>
              <a:sp3d prstMaterial="flat"/>
            </c:spPr>
          </c:bandFmt>
          <c:bandFmt>
            <c:idx val="1"/>
            <c:spPr>
              <a:sp3d prstMaterial="flat"/>
            </c:spPr>
          </c:bandFmt>
          <c:bandFmt>
            <c:idx val="2"/>
            <c:spPr>
              <a:sp3d prstMaterial="flat"/>
            </c:spPr>
          </c:bandFmt>
        </c:bandFmts>
        <c:axId val="50583040"/>
        <c:axId val="50584960"/>
        <c:axId val="50526400"/>
      </c:surface3DChart>
      <c:catAx>
        <c:axId val="50583040"/>
        <c:scaling>
          <c:orientation val="minMax"/>
        </c:scaling>
        <c:delete val="0"/>
        <c:axPos val="b"/>
        <c:majorGridlines/>
        <c:title>
          <c:tx>
            <c:rich>
              <a:bodyPr/>
              <a:lstStyle/>
              <a:p>
                <a:pPr>
                  <a:defRPr/>
                </a:pPr>
                <a:r>
                  <a:rPr lang="en-AU">
                    <a:latin typeface="Times New Roman" panose="02020603050405020304" pitchFamily="18" charset="0"/>
                    <a:cs typeface="Times New Roman" panose="02020603050405020304" pitchFamily="18" charset="0"/>
                  </a:rPr>
                  <a:t>VS (kgm-3)</a:t>
                </a:r>
              </a:p>
            </c:rich>
          </c:tx>
          <c:layout>
            <c:manualLayout>
              <c:xMode val="edge"/>
              <c:yMode val="edge"/>
              <c:x val="0.28876030031129829"/>
              <c:y val="0.72782321564643138"/>
            </c:manualLayout>
          </c:layout>
          <c:overlay val="0"/>
        </c:title>
        <c:numFmt formatCode="0" sourceLinked="1"/>
        <c:majorTickMark val="out"/>
        <c:minorTickMark val="none"/>
        <c:tickLblPos val="low"/>
        <c:txPr>
          <a:bodyPr rot="-5400000" vert="horz"/>
          <a:lstStyle/>
          <a:p>
            <a:pPr>
              <a:defRPr/>
            </a:pPr>
            <a:endParaRPr lang="en-US"/>
          </a:p>
        </c:txPr>
        <c:crossAx val="50584960"/>
        <c:crosses val="autoZero"/>
        <c:auto val="1"/>
        <c:lblAlgn val="ctr"/>
        <c:lblOffset val="100"/>
        <c:tickLblSkip val="2"/>
        <c:tickMarkSkip val="1"/>
        <c:noMultiLvlLbl val="1"/>
      </c:catAx>
      <c:valAx>
        <c:axId val="50584960"/>
        <c:scaling>
          <c:orientation val="minMax"/>
          <c:min val="0"/>
        </c:scaling>
        <c:delete val="0"/>
        <c:axPos val="l"/>
        <c:majorGridlines/>
        <c:title>
          <c:tx>
            <c:rich>
              <a:bodyPr rot="0" vert="horz"/>
              <a:lstStyle/>
              <a:p>
                <a:pPr>
                  <a:defRPr/>
                </a:pPr>
                <a:r>
                  <a:rPr lang="en-AU"/>
                  <a:t>SGP</a:t>
                </a:r>
              </a:p>
            </c:rich>
          </c:tx>
          <c:layout>
            <c:manualLayout>
              <c:xMode val="edge"/>
              <c:yMode val="edge"/>
              <c:x val="0.13178314919937331"/>
              <c:y val="0.49193590720514774"/>
            </c:manualLayout>
          </c:layout>
          <c:overlay val="0"/>
        </c:title>
        <c:numFmt formatCode="0.0" sourceLinked="0"/>
        <c:majorTickMark val="out"/>
        <c:minorTickMark val="none"/>
        <c:tickLblPos val="nextTo"/>
        <c:txPr>
          <a:bodyPr rot="0" vert="horz"/>
          <a:lstStyle/>
          <a:p>
            <a:pPr>
              <a:defRPr/>
            </a:pPr>
            <a:endParaRPr lang="en-US"/>
          </a:p>
        </c:txPr>
        <c:crossAx val="50583040"/>
        <c:crosses val="autoZero"/>
        <c:crossBetween val="between"/>
      </c:valAx>
      <c:serAx>
        <c:axId val="50526400"/>
        <c:scaling>
          <c:orientation val="minMax"/>
        </c:scaling>
        <c:delete val="0"/>
        <c:axPos val="b"/>
        <c:majorGridlines>
          <c:spPr>
            <a:ln w="3175">
              <a:solidFill>
                <a:srgbClr val="808080"/>
              </a:solidFill>
              <a:prstDash val="solid"/>
            </a:ln>
          </c:spPr>
        </c:majorGridlines>
        <c:title>
          <c:tx>
            <c:rich>
              <a:bodyPr/>
              <a:lstStyle/>
              <a:p>
                <a:pPr>
                  <a:defRPr/>
                </a:pPr>
                <a:r>
                  <a:rPr lang="en-AU">
                    <a:latin typeface="Times New Roman" panose="02020603050405020304" pitchFamily="18" charset="0"/>
                    <a:cs typeface="Times New Roman" panose="02020603050405020304" pitchFamily="18" charset="0"/>
                  </a:rPr>
                  <a:t>RT (days)</a:t>
                </a:r>
              </a:p>
            </c:rich>
          </c:tx>
          <c:layout>
            <c:manualLayout>
              <c:xMode val="edge"/>
              <c:yMode val="edge"/>
              <c:x val="0.76938126920181493"/>
              <c:y val="0.6431457962915925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584960"/>
        <c:crosses val="autoZero"/>
        <c:tickLblSkip val="3"/>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ayout>
        <c:manualLayout>
          <c:xMode val="edge"/>
          <c:yMode val="edge"/>
          <c:x val="0.21379906000122079"/>
          <c:y val="0.91642261451189566"/>
          <c:w val="0.451988443305052"/>
          <c:h val="4.243586487172978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Total Gas Production Response Surface</a:t>
            </a:r>
          </a:p>
        </c:rich>
      </c:tx>
      <c:layout>
        <c:manualLayout>
          <c:xMode val="edge"/>
          <c:yMode val="edge"/>
          <c:x val="0.20114982753592581"/>
          <c:y val="3.0181086519114688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4176271731830198"/>
          <c:y val="0.12676056338028169"/>
          <c:w val="0.76245353368492164"/>
          <c:h val="0.68008048289738432"/>
        </c:manualLayout>
      </c:layout>
      <c:surface3DChart>
        <c:wireframe val="0"/>
        <c:ser>
          <c:idx val="0"/>
          <c:order val="0"/>
          <c:tx>
            <c:strRef>
              <c:f>ResponseSurfaceVSRT!$J$54</c:f>
              <c:strCache>
                <c:ptCount val="1"/>
                <c:pt idx="0">
                  <c:v>3.9</c:v>
                </c:pt>
              </c:strCache>
            </c:strRef>
          </c:tx>
          <c:spPr>
            <a:sp3d prstMaterial="flat"/>
          </c:spPr>
          <c:cat>
            <c:numRef>
              <c:f>ResponseSurfaceVSRT!$C$41:$K$41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ResponseSurfaceVSRT!$K$54:$S$54</c:f>
              <c:numCache>
                <c:formatCode>0.0</c:formatCode>
                <c:ptCount val="9"/>
                <c:pt idx="0">
                  <c:v>3.5827395118641006</c:v>
                </c:pt>
                <c:pt idx="1">
                  <c:v>4.0496124040476911</c:v>
                </c:pt>
                <c:pt idx="2">
                  <c:v>4.4176322647578816</c:v>
                </c:pt>
                <c:pt idx="3">
                  <c:v>4.6179260489475116</c:v>
                </c:pt>
                <c:pt idx="4">
                  <c:v>4.5653671993690681</c:v>
                </c:pt>
                <c:pt idx="5">
                  <c:v>4.1965194447656913</c:v>
                </c:pt>
                <c:pt idx="6">
                  <c:v>3.5331705468018728</c:v>
                </c:pt>
                <c:pt idx="7">
                  <c:v>2.7104406468120352</c:v>
                </c:pt>
                <c:pt idx="8">
                  <c:v>1.9103990133674436</c:v>
                </c:pt>
              </c:numCache>
            </c:numRef>
          </c:val>
          <c:extLst>
            <c:ext xmlns:c16="http://schemas.microsoft.com/office/drawing/2014/chart" uri="{C3380CC4-5D6E-409C-BE32-E72D297353CC}">
              <c16:uniqueId val="{00000000-94FB-4536-98F5-C0D608858128}"/>
            </c:ext>
          </c:extLst>
        </c:ser>
        <c:ser>
          <c:idx val="1"/>
          <c:order val="1"/>
          <c:tx>
            <c:strRef>
              <c:f>ResponseSurfaceVSRT!$J$55</c:f>
              <c:strCache>
                <c:ptCount val="1"/>
                <c:pt idx="0">
                  <c:v>5.9</c:v>
                </c:pt>
              </c:strCache>
            </c:strRef>
          </c:tx>
          <c:spPr>
            <a:sp3d prstMaterial="flat"/>
          </c:spPr>
          <c:cat>
            <c:numRef>
              <c:f>ResponseSurfaceVSRT!$C$41:$K$41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ResponseSurfaceVSRT!$K$55:$S$55</c:f>
              <c:numCache>
                <c:formatCode>0.0</c:formatCode>
                <c:ptCount val="9"/>
                <c:pt idx="0">
                  <c:v>6.599137889177455</c:v>
                </c:pt>
                <c:pt idx="1">
                  <c:v>7.5296239307468023</c:v>
                </c:pt>
                <c:pt idx="2">
                  <c:v>8.3480325824819417</c:v>
                </c:pt>
                <c:pt idx="3">
                  <c:v>8.964188140696665</c:v>
                </c:pt>
                <c:pt idx="4">
                  <c:v>9.2421205156363637</c:v>
                </c:pt>
                <c:pt idx="5">
                  <c:v>9.0194622138425604</c:v>
                </c:pt>
                <c:pt idx="6">
                  <c:v>8.1865283864576011</c:v>
                </c:pt>
                <c:pt idx="7">
                  <c:v>6.8083682656362763</c:v>
                </c:pt>
                <c:pt idx="8">
                  <c:v>5.1644533191371318</c:v>
                </c:pt>
              </c:numCache>
            </c:numRef>
          </c:val>
          <c:extLst>
            <c:ext xmlns:c16="http://schemas.microsoft.com/office/drawing/2014/chart" uri="{C3380CC4-5D6E-409C-BE32-E72D297353CC}">
              <c16:uniqueId val="{00000001-94FB-4536-98F5-C0D608858128}"/>
            </c:ext>
          </c:extLst>
        </c:ser>
        <c:ser>
          <c:idx val="2"/>
          <c:order val="2"/>
          <c:tx>
            <c:strRef>
              <c:f>ResponseSurfaceVSRT!$J$56</c:f>
              <c:strCache>
                <c:ptCount val="1"/>
                <c:pt idx="0">
                  <c:v>7.9</c:v>
                </c:pt>
              </c:strCache>
            </c:strRef>
          </c:tx>
          <c:spPr>
            <a:sp3d prstMaterial="flat"/>
          </c:spPr>
          <c:cat>
            <c:numRef>
              <c:f>ResponseSurfaceVSRT!$C$41:$K$41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ResponseSurfaceVSRT!$K$56:$S$56</c:f>
              <c:numCache>
                <c:formatCode>0.0</c:formatCode>
                <c:ptCount val="9"/>
                <c:pt idx="0">
                  <c:v>7.8383257690864303</c:v>
                </c:pt>
                <c:pt idx="1">
                  <c:v>8.9784210555170549</c:v>
                </c:pt>
                <c:pt idx="2">
                  <c:v>10.022439691849604</c:v>
                </c:pt>
                <c:pt idx="3">
                  <c:v>10.888510332557711</c:v>
                </c:pt>
                <c:pt idx="4">
                  <c:v>11.443331117739053</c:v>
                </c:pt>
                <c:pt idx="5">
                  <c:v>11.501568114962163</c:v>
                </c:pt>
                <c:pt idx="6">
                  <c:v>10.876365862380426</c:v>
                </c:pt>
                <c:pt idx="7">
                  <c:v>9.5075609014075599</c:v>
                </c:pt>
                <c:pt idx="8">
                  <c:v>7.5930660860526293</c:v>
                </c:pt>
              </c:numCache>
            </c:numRef>
          </c:val>
          <c:extLst>
            <c:ext xmlns:c16="http://schemas.microsoft.com/office/drawing/2014/chart" uri="{C3380CC4-5D6E-409C-BE32-E72D297353CC}">
              <c16:uniqueId val="{00000002-94FB-4536-98F5-C0D608858128}"/>
            </c:ext>
          </c:extLst>
        </c:ser>
        <c:ser>
          <c:idx val="3"/>
          <c:order val="3"/>
          <c:tx>
            <c:strRef>
              <c:f>ResponseSurfaceVSRT!$J$57</c:f>
              <c:strCache>
                <c:ptCount val="1"/>
                <c:pt idx="0">
                  <c:v>9.9</c:v>
                </c:pt>
              </c:strCache>
            </c:strRef>
          </c:tx>
          <c:spPr>
            <a:sp3d prstMaterial="flat"/>
          </c:spPr>
          <c:cat>
            <c:numRef>
              <c:f>ResponseSurfaceVSRT!$C$41:$K$41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ResponseSurfaceVSRT!$K$57:$S$57</c:f>
              <c:numCache>
                <c:formatCode>0.0</c:formatCode>
                <c:ptCount val="9"/>
                <c:pt idx="0">
                  <c:v>8.5135454893351756</c:v>
                </c:pt>
                <c:pt idx="1">
                  <c:v>9.7726213909292614</c:v>
                </c:pt>
                <c:pt idx="2">
                  <c:v>10.950078383262321</c:v>
                </c:pt>
                <c:pt idx="3">
                  <c:v>11.974178917417602</c:v>
                </c:pt>
                <c:pt idx="4">
                  <c:v>12.723218169881612</c:v>
                </c:pt>
                <c:pt idx="5">
                  <c:v>13.014233862774647</c:v>
                </c:pt>
                <c:pt idx="6">
                  <c:v>12.628946897722141</c:v>
                </c:pt>
                <c:pt idx="7">
                  <c:v>11.4197568903588</c:v>
                </c:pt>
                <c:pt idx="8">
                  <c:v>9.4749646917522057</c:v>
                </c:pt>
              </c:numCache>
            </c:numRef>
          </c:val>
          <c:extLst>
            <c:ext xmlns:c16="http://schemas.microsoft.com/office/drawing/2014/chart" uri="{C3380CC4-5D6E-409C-BE32-E72D297353CC}">
              <c16:uniqueId val="{00000003-94FB-4536-98F5-C0D608858128}"/>
            </c:ext>
          </c:extLst>
        </c:ser>
        <c:ser>
          <c:idx val="4"/>
          <c:order val="4"/>
          <c:tx>
            <c:strRef>
              <c:f>ResponseSurfaceVSRT!$J$58</c:f>
              <c:strCache>
                <c:ptCount val="1"/>
                <c:pt idx="0">
                  <c:v>11.9</c:v>
                </c:pt>
              </c:strCache>
            </c:strRef>
          </c:tx>
          <c:spPr>
            <a:sp3d prstMaterial="flat"/>
          </c:spPr>
          <c:cat>
            <c:numRef>
              <c:f>ResponseSurfaceVSRT!$C$41:$K$41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ResponseSurfaceVSRT!$K$58:$S$58</c:f>
              <c:numCache>
                <c:formatCode>0.0</c:formatCode>
                <c:ptCount val="9"/>
                <c:pt idx="0">
                  <c:v>8.9384303144677268</c:v>
                </c:pt>
                <c:pt idx="1">
                  <c:v>10.274111686833507</c:v>
                </c:pt>
                <c:pt idx="2">
                  <c:v>11.539434910953453</c:v>
                </c:pt>
                <c:pt idx="3">
                  <c:v>12.671350813352413</c:v>
                </c:pt>
                <c:pt idx="4">
                  <c:v>13.560112502846438</c:v>
                </c:pt>
                <c:pt idx="5">
                  <c:v>14.032620901472407</c:v>
                </c:pt>
                <c:pt idx="6">
                  <c:v>13.861459640100072</c:v>
                </c:pt>
                <c:pt idx="7">
                  <c:v>12.845356626651883</c:v>
                </c:pt>
                <c:pt idx="8">
                  <c:v>10.976081617503914</c:v>
                </c:pt>
              </c:numCache>
            </c:numRef>
          </c:val>
          <c:extLst>
            <c:ext xmlns:c16="http://schemas.microsoft.com/office/drawing/2014/chart" uri="{C3380CC4-5D6E-409C-BE32-E72D297353CC}">
              <c16:uniqueId val="{00000004-94FB-4536-98F5-C0D608858128}"/>
            </c:ext>
          </c:extLst>
        </c:ser>
        <c:ser>
          <c:idx val="5"/>
          <c:order val="5"/>
          <c:tx>
            <c:strRef>
              <c:f>ResponseSurfaceVSRT!$J$59</c:f>
              <c:strCache>
                <c:ptCount val="1"/>
                <c:pt idx="0">
                  <c:v>13.9</c:v>
                </c:pt>
              </c:strCache>
            </c:strRef>
          </c:tx>
          <c:spPr>
            <a:sp3d prstMaterial="flat"/>
          </c:spPr>
          <c:cat>
            <c:numRef>
              <c:f>ResponseSurfaceVSRT!$C$41:$K$41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ResponseSurfaceVSRT!$K$59:$S$59</c:f>
              <c:numCache>
                <c:formatCode>0.0</c:formatCode>
                <c:ptCount val="9"/>
                <c:pt idx="0">
                  <c:v>9.2304250803712335</c:v>
                </c:pt>
                <c:pt idx="1">
                  <c:v>10.619533290426647</c:v>
                </c:pt>
                <c:pt idx="2">
                  <c:v>11.947014926851566</c:v>
                </c:pt>
                <c:pt idx="3">
                  <c:v>13.156908215426531</c:v>
                </c:pt>
                <c:pt idx="4">
                  <c:v>14.150075843149654</c:v>
                </c:pt>
                <c:pt idx="5">
                  <c:v>14.764972270544682</c:v>
                </c:pt>
                <c:pt idx="6">
                  <c:v>14.775485866141683</c:v>
                </c:pt>
                <c:pt idx="7">
                  <c:v>13.949131550456231</c:v>
                </c:pt>
                <c:pt idx="8">
                  <c:v>12.201369398837945</c:v>
                </c:pt>
              </c:numCache>
            </c:numRef>
          </c:val>
          <c:extLst>
            <c:ext xmlns:c16="http://schemas.microsoft.com/office/drawing/2014/chart" uri="{C3380CC4-5D6E-409C-BE32-E72D297353CC}">
              <c16:uniqueId val="{00000005-94FB-4536-98F5-C0D608858128}"/>
            </c:ext>
          </c:extLst>
        </c:ser>
        <c:ser>
          <c:idx val="6"/>
          <c:order val="6"/>
          <c:tx>
            <c:strRef>
              <c:f>ResponseSurfaceVSRT!$J$60</c:f>
              <c:strCache>
                <c:ptCount val="1"/>
                <c:pt idx="0">
                  <c:v>15.9</c:v>
                </c:pt>
              </c:strCache>
            </c:strRef>
          </c:tx>
          <c:spPr>
            <a:sp3d prstMaterial="flat"/>
          </c:spPr>
          <c:cat>
            <c:numRef>
              <c:f>ResponseSurfaceVSRT!$C$41:$K$41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ResponseSurfaceVSRT!$K$60:$S$60</c:f>
              <c:numCache>
                <c:formatCode>0.0</c:formatCode>
                <c:ptCount val="9"/>
                <c:pt idx="0">
                  <c:v>9.4434439783103059</c:v>
                </c:pt>
                <c:pt idx="1">
                  <c:v>10.871931243157977</c:v>
                </c:pt>
                <c:pt idx="2">
                  <c:v>12.245680511718314</c:v>
                </c:pt>
                <c:pt idx="3">
                  <c:v>13.514503409773067</c:v>
                </c:pt>
                <c:pt idx="4">
                  <c:v>14.588345798524548</c:v>
                </c:pt>
                <c:pt idx="5">
                  <c:v>15.316957068895976</c:v>
                </c:pt>
                <c:pt idx="6">
                  <c:v>15.480348252790609</c:v>
                </c:pt>
                <c:pt idx="7">
                  <c:v>14.829005157429204</c:v>
                </c:pt>
                <c:pt idx="8">
                  <c:v>13.220456090802225</c:v>
                </c:pt>
              </c:numCache>
            </c:numRef>
          </c:val>
          <c:extLst>
            <c:ext xmlns:c16="http://schemas.microsoft.com/office/drawing/2014/chart" uri="{C3380CC4-5D6E-409C-BE32-E72D297353CC}">
              <c16:uniqueId val="{00000006-94FB-4536-98F5-C0D608858128}"/>
            </c:ext>
          </c:extLst>
        </c:ser>
        <c:ser>
          <c:idx val="7"/>
          <c:order val="7"/>
          <c:tx>
            <c:strRef>
              <c:f>ResponseSurfaceVSRT!$J$61</c:f>
              <c:strCache>
                <c:ptCount val="1"/>
                <c:pt idx="0">
                  <c:v>17.9</c:v>
                </c:pt>
              </c:strCache>
            </c:strRef>
          </c:tx>
          <c:spPr>
            <a:sp3d prstMaterial="flat"/>
          </c:spPr>
          <c:cat>
            <c:numRef>
              <c:f>ResponseSurfaceVSRT!$C$41:$K$41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ResponseSurfaceVSRT!$K$61:$S$61</c:f>
              <c:numCache>
                <c:formatCode>0.0</c:formatCode>
                <c:ptCount val="9"/>
                <c:pt idx="0">
                  <c:v>9.6057110500956639</c:v>
                </c:pt>
                <c:pt idx="1">
                  <c:v>11.064423667821497</c:v>
                </c:pt>
                <c:pt idx="2">
                  <c:v>12.473942696095289</c:v>
                </c:pt>
                <c:pt idx="3">
                  <c:v>13.788831153255066</c:v>
                </c:pt>
                <c:pt idx="4">
                  <c:v>14.926763469056468</c:v>
                </c:pt>
                <c:pt idx="5">
                  <c:v>15.747901854364898</c:v>
                </c:pt>
                <c:pt idx="6">
                  <c:v>16.040472229824548</c:v>
                </c:pt>
                <c:pt idx="7">
                  <c:v>15.546831619777096</c:v>
                </c:pt>
                <c:pt idx="8">
                  <c:v>14.081353507891572</c:v>
                </c:pt>
              </c:numCache>
            </c:numRef>
          </c:val>
          <c:extLst>
            <c:ext xmlns:c16="http://schemas.microsoft.com/office/drawing/2014/chart" uri="{C3380CC4-5D6E-409C-BE32-E72D297353CC}">
              <c16:uniqueId val="{00000007-94FB-4536-98F5-C0D608858128}"/>
            </c:ext>
          </c:extLst>
        </c:ser>
        <c:ser>
          <c:idx val="8"/>
          <c:order val="8"/>
          <c:tx>
            <c:strRef>
              <c:f>ResponseSurfaceVSRT!$J$62</c:f>
              <c:strCache>
                <c:ptCount val="1"/>
                <c:pt idx="0">
                  <c:v>19.9</c:v>
                </c:pt>
              </c:strCache>
            </c:strRef>
          </c:tx>
          <c:spPr>
            <a:sp3d prstMaterial="flat"/>
          </c:spPr>
          <c:cat>
            <c:numRef>
              <c:f>ResponseSurfaceVSRT!$C$41:$K$41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ResponseSurfaceVSRT!$K$62:$S$62</c:f>
              <c:numCache>
                <c:formatCode>0.0</c:formatCode>
                <c:ptCount val="9"/>
                <c:pt idx="0">
                  <c:v>9.7334331157098379</c:v>
                </c:pt>
                <c:pt idx="1">
                  <c:v>11.216075536170401</c:v>
                </c:pt>
                <c:pt idx="2">
                  <c:v>12.654070682543917</c:v>
                </c:pt>
                <c:pt idx="3">
                  <c:v>14.005942170268895</c:v>
                </c:pt>
                <c:pt idx="4">
                  <c:v>15.19596350801292</c:v>
                </c:pt>
                <c:pt idx="5">
                  <c:v>16.093685573379137</c:v>
                </c:pt>
                <c:pt idx="6">
                  <c:v>16.496288231585382</c:v>
                </c:pt>
                <c:pt idx="7">
                  <c:v>16.143602748560273</c:v>
                </c:pt>
                <c:pt idx="8">
                  <c:v>14.818241588357749</c:v>
                </c:pt>
              </c:numCache>
            </c:numRef>
          </c:val>
          <c:extLst>
            <c:ext xmlns:c16="http://schemas.microsoft.com/office/drawing/2014/chart" uri="{C3380CC4-5D6E-409C-BE32-E72D297353CC}">
              <c16:uniqueId val="{00000008-94FB-4536-98F5-C0D608858128}"/>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s>
        <c:axId val="50649728"/>
        <c:axId val="89387776"/>
        <c:axId val="50633344"/>
      </c:surface3DChart>
      <c:catAx>
        <c:axId val="50649728"/>
        <c:scaling>
          <c:orientation val="minMax"/>
        </c:scaling>
        <c:delete val="0"/>
        <c:axPos val="b"/>
        <c:majorGridlines/>
        <c:title>
          <c:tx>
            <c:rich>
              <a:bodyPr/>
              <a:lstStyle/>
              <a:p>
                <a:pPr>
                  <a:defRPr/>
                </a:pPr>
                <a:r>
                  <a:rPr lang="en-AU"/>
                  <a:t>VS (kgm-3)</a:t>
                </a:r>
              </a:p>
            </c:rich>
          </c:tx>
          <c:layout>
            <c:manualLayout>
              <c:xMode val="edge"/>
              <c:yMode val="edge"/>
              <c:x val="0.29310405164871633"/>
              <c:y val="0.7283702213279678"/>
            </c:manualLayout>
          </c:layout>
          <c:overlay val="0"/>
        </c:title>
        <c:numFmt formatCode="0" sourceLinked="1"/>
        <c:majorTickMark val="out"/>
        <c:minorTickMark val="none"/>
        <c:tickLblPos val="low"/>
        <c:txPr>
          <a:bodyPr rot="-5400000" vert="horz"/>
          <a:lstStyle/>
          <a:p>
            <a:pPr>
              <a:defRPr/>
            </a:pPr>
            <a:endParaRPr lang="en-US"/>
          </a:p>
        </c:txPr>
        <c:crossAx val="89387776"/>
        <c:crosses val="autoZero"/>
        <c:auto val="1"/>
        <c:lblAlgn val="ctr"/>
        <c:lblOffset val="100"/>
        <c:tickLblSkip val="2"/>
        <c:tickMarkSkip val="1"/>
        <c:noMultiLvlLbl val="1"/>
      </c:catAx>
      <c:valAx>
        <c:axId val="89387776"/>
        <c:scaling>
          <c:orientation val="minMax"/>
          <c:min val="0"/>
        </c:scaling>
        <c:delete val="0"/>
        <c:axPos val="l"/>
        <c:majorGridlines/>
        <c:title>
          <c:tx>
            <c:rich>
              <a:bodyPr rot="0" vert="horz"/>
              <a:lstStyle/>
              <a:p>
                <a:pPr>
                  <a:defRPr/>
                </a:pPr>
                <a:r>
                  <a:rPr lang="en-AU"/>
                  <a:t>TGP</a:t>
                </a:r>
              </a:p>
            </c:rich>
          </c:tx>
          <c:layout>
            <c:manualLayout>
              <c:xMode val="edge"/>
              <c:yMode val="edge"/>
              <c:x val="0.13793123560704337"/>
              <c:y val="0.49094567404426559"/>
            </c:manualLayout>
          </c:layout>
          <c:overlay val="0"/>
        </c:title>
        <c:numFmt formatCode="0" sourceLinked="0"/>
        <c:majorTickMark val="out"/>
        <c:minorTickMark val="none"/>
        <c:tickLblPos val="nextTo"/>
        <c:txPr>
          <a:bodyPr rot="0" vert="horz"/>
          <a:lstStyle/>
          <a:p>
            <a:pPr>
              <a:defRPr/>
            </a:pPr>
            <a:endParaRPr lang="en-US"/>
          </a:p>
        </c:txPr>
        <c:crossAx val="50649728"/>
        <c:crosses val="autoZero"/>
        <c:crossBetween val="between"/>
      </c:valAx>
      <c:serAx>
        <c:axId val="50633344"/>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5095926227612353"/>
              <c:y val="0.64788732394366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89387776"/>
        <c:crosses val="autoZero"/>
        <c:tickLblSkip val="3"/>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ayout>
        <c:manualLayout>
          <c:xMode val="edge"/>
          <c:yMode val="edge"/>
          <c:x val="0.20881266278496796"/>
          <c:y val="0.88732394366197187"/>
          <c:w val="0.54597801711567673"/>
          <c:h val="9.657947686116696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latin typeface="Times New Roman" panose="02020603050405020304" pitchFamily="18" charset="0"/>
                <a:cs typeface="Times New Roman" panose="02020603050405020304" pitchFamily="18" charset="0"/>
              </a:rPr>
              <a:t>Gas Production per kg VS added Response Surface</a:t>
            </a:r>
          </a:p>
        </c:rich>
      </c:tx>
      <c:layout>
        <c:manualLayout>
          <c:xMode val="edge"/>
          <c:yMode val="edge"/>
          <c:x val="0.17635699607316527"/>
          <c:y val="3.0241935483870969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82"/>
          <c:h val="0.68145228375075051"/>
        </c:manualLayout>
      </c:layout>
      <c:surface3DChart>
        <c:wireframe val="0"/>
        <c:ser>
          <c:idx val="0"/>
          <c:order val="0"/>
          <c:tx>
            <c:strRef>
              <c:f>ResponseSurfaceVSRT!$R$42</c:f>
              <c:strCache>
                <c:ptCount val="1"/>
                <c:pt idx="0">
                  <c:v>3.9</c:v>
                </c:pt>
              </c:strCache>
            </c:strRef>
          </c:tx>
          <c:spPr>
            <a:sp3d prstMaterial="flat"/>
          </c:spPr>
          <c:cat>
            <c:numRef>
              <c:f>ResponseSurfaceVSRT!$S$41:$AA$41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ResponseSurfaceVSRT!$S$43:$AA$43</c:f>
              <c:numCache>
                <c:formatCode>0.00</c:formatCode>
                <c:ptCount val="9"/>
                <c:pt idx="0">
                  <c:v>0.20622305903679547</c:v>
                </c:pt>
                <c:pt idx="1">
                  <c:v>0.2035033494796433</c:v>
                </c:pt>
                <c:pt idx="2">
                  <c:v>0.19876268053528431</c:v>
                </c:pt>
                <c:pt idx="3">
                  <c:v>0.19072740724886522</c:v>
                </c:pt>
                <c:pt idx="4">
                  <c:v>0.17773308683916084</c:v>
                </c:pt>
                <c:pt idx="5">
                  <c:v>0.15823617919022037</c:v>
                </c:pt>
                <c:pt idx="6">
                  <c:v>0.1320407804267355</c:v>
                </c:pt>
                <c:pt idx="7">
                  <c:v>0.10161743680054143</c:v>
                </c:pt>
                <c:pt idx="8">
                  <c:v>7.172851832134905E-2</c:v>
                </c:pt>
              </c:numCache>
            </c:numRef>
          </c:val>
          <c:extLst>
            <c:ext xmlns:c16="http://schemas.microsoft.com/office/drawing/2014/chart" uri="{C3380CC4-5D6E-409C-BE32-E72D297353CC}">
              <c16:uniqueId val="{00000000-3872-4FE5-B9AB-50C66883FDBC}"/>
            </c:ext>
          </c:extLst>
        </c:ser>
        <c:ser>
          <c:idx val="1"/>
          <c:order val="1"/>
          <c:tx>
            <c:strRef>
              <c:f>ResponseSurfaceVSRT!$R$43</c:f>
              <c:strCache>
                <c:ptCount val="1"/>
                <c:pt idx="0">
                  <c:v>5.9</c:v>
                </c:pt>
              </c:strCache>
            </c:strRef>
          </c:tx>
          <c:spPr>
            <a:sp3d prstMaterial="flat"/>
          </c:spPr>
          <c:cat>
            <c:numRef>
              <c:f>ResponseSurfaceVSRT!$S$41:$AA$41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ResponseSurfaceVSRT!$S$44:$AA$44</c:f>
              <c:numCache>
                <c:formatCode>0.00</c:formatCode>
                <c:ptCount val="9"/>
                <c:pt idx="0">
                  <c:v>0.24494768028395095</c:v>
                </c:pt>
                <c:pt idx="1">
                  <c:v>0.24266002852748797</c:v>
                </c:pt>
                <c:pt idx="2">
                  <c:v>0.2386295164726096</c:v>
                </c:pt>
                <c:pt idx="3">
                  <c:v>0.23167043260761089</c:v>
                </c:pt>
                <c:pt idx="4">
                  <c:v>0.22006405995652026</c:v>
                </c:pt>
                <c:pt idx="5">
                  <c:v>0.20178189675372216</c:v>
                </c:pt>
                <c:pt idx="6">
                  <c:v>0.17542525584484558</c:v>
                </c:pt>
                <c:pt idx="7">
                  <c:v>0.1419038940508591</c:v>
                </c:pt>
                <c:pt idx="8">
                  <c:v>0.10545925119517541</c:v>
                </c:pt>
              </c:numCache>
            </c:numRef>
          </c:val>
          <c:extLst>
            <c:ext xmlns:c16="http://schemas.microsoft.com/office/drawing/2014/chart" uri="{C3380CC4-5D6E-409C-BE32-E72D297353CC}">
              <c16:uniqueId val="{00000001-3872-4FE5-B9AB-50C66883FDBC}"/>
            </c:ext>
          </c:extLst>
        </c:ser>
        <c:ser>
          <c:idx val="2"/>
          <c:order val="2"/>
          <c:tx>
            <c:strRef>
              <c:f>ResponseSurfaceVSRT!$R$44</c:f>
              <c:strCache>
                <c:ptCount val="1"/>
                <c:pt idx="0">
                  <c:v>7.9</c:v>
                </c:pt>
              </c:strCache>
            </c:strRef>
          </c:tx>
          <c:spPr>
            <a:sp3d prstMaterial="flat"/>
          </c:spPr>
          <c:cat>
            <c:numRef>
              <c:f>ResponseSurfaceVSRT!$S$41:$AA$41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ResponseSurfaceVSRT!$S$45:$AA$45</c:f>
              <c:numCache>
                <c:formatCode>0.00</c:formatCode>
                <c:ptCount val="9"/>
                <c:pt idx="0">
                  <c:v>0.26604829654172424</c:v>
                </c:pt>
                <c:pt idx="1">
                  <c:v>0.26412490245754761</c:v>
                </c:pt>
                <c:pt idx="2">
                  <c:v>0.2607161519824362</c:v>
                </c:pt>
                <c:pt idx="3">
                  <c:v>0.2547697642003745</c:v>
                </c:pt>
                <c:pt idx="4">
                  <c:v>0.24467727249772331</c:v>
                </c:pt>
                <c:pt idx="5">
                  <c:v>0.22831989232937977</c:v>
                </c:pt>
                <c:pt idx="6">
                  <c:v>0.2036926918987442</c:v>
                </c:pt>
                <c:pt idx="7">
                  <c:v>0.17044413269192238</c:v>
                </c:pt>
                <c:pt idx="8">
                  <c:v>0.13159673182989173</c:v>
                </c:pt>
              </c:numCache>
            </c:numRef>
          </c:val>
          <c:extLst>
            <c:ext xmlns:c16="http://schemas.microsoft.com/office/drawing/2014/chart" uri="{C3380CC4-5D6E-409C-BE32-E72D297353CC}">
              <c16:uniqueId val="{00000002-3872-4FE5-B9AB-50C66883FDBC}"/>
            </c:ext>
          </c:extLst>
        </c:ser>
        <c:ser>
          <c:idx val="3"/>
          <c:order val="3"/>
          <c:tx>
            <c:strRef>
              <c:f>ResponseSurfaceVSRT!$R$45</c:f>
              <c:strCache>
                <c:ptCount val="1"/>
                <c:pt idx="0">
                  <c:v>9.9</c:v>
                </c:pt>
              </c:strCache>
            </c:strRef>
          </c:tx>
          <c:spPr>
            <a:sp3d prstMaterial="flat"/>
          </c:spPr>
          <c:cat>
            <c:numRef>
              <c:f>ResponseSurfaceVSRT!$S$41:$AA$41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ResponseSurfaceVSRT!$S$46:$AA$46</c:f>
              <c:numCache>
                <c:formatCode>0.00</c:formatCode>
                <c:ptCount val="9"/>
                <c:pt idx="0">
                  <c:v>0.27932594732711646</c:v>
                </c:pt>
                <c:pt idx="1">
                  <c:v>0.27767869423874342</c:v>
                </c:pt>
                <c:pt idx="2">
                  <c:v>0.27474845026079653</c:v>
                </c:pt>
                <c:pt idx="3">
                  <c:v>0.26960320879473221</c:v>
                </c:pt>
                <c:pt idx="4">
                  <c:v>0.26077139428550844</c:v>
                </c:pt>
                <c:pt idx="5">
                  <c:v>0.24618633160477907</c:v>
                </c:pt>
                <c:pt idx="6">
                  <c:v>0.22357192967903342</c:v>
                </c:pt>
                <c:pt idx="7">
                  <c:v>0.19172174069629677</c:v>
                </c:pt>
                <c:pt idx="8">
                  <c:v>0.15244557802088768</c:v>
                </c:pt>
              </c:numCache>
            </c:numRef>
          </c:val>
          <c:extLst>
            <c:ext xmlns:c16="http://schemas.microsoft.com/office/drawing/2014/chart" uri="{C3380CC4-5D6E-409C-BE32-E72D297353CC}">
              <c16:uniqueId val="{00000003-3872-4FE5-B9AB-50C66883FDBC}"/>
            </c:ext>
          </c:extLst>
        </c:ser>
        <c:ser>
          <c:idx val="4"/>
          <c:order val="4"/>
          <c:tx>
            <c:strRef>
              <c:f>ResponseSurfaceVSRT!$R$46</c:f>
              <c:strCache>
                <c:ptCount val="1"/>
                <c:pt idx="0">
                  <c:v>11.9</c:v>
                </c:pt>
              </c:strCache>
            </c:strRef>
          </c:tx>
          <c:spPr>
            <a:sp3d prstMaterial="flat"/>
          </c:spPr>
          <c:cat>
            <c:numRef>
              <c:f>ResponseSurfaceVSRT!$S$41:$AA$41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ResponseSurfaceVSRT!$S$47:$AA$47</c:f>
              <c:numCache>
                <c:formatCode>0.00</c:formatCode>
                <c:ptCount val="9"/>
                <c:pt idx="0">
                  <c:v>0.28845078376160105</c:v>
                </c:pt>
                <c:pt idx="1">
                  <c:v>0.28701441325477423</c:v>
                </c:pt>
                <c:pt idx="2">
                  <c:v>0.28445273635360868</c:v>
                </c:pt>
                <c:pt idx="3">
                  <c:v>0.27993421734950069</c:v>
                </c:pt>
                <c:pt idx="4">
                  <c:v>0.27211684313749335</c:v>
                </c:pt>
                <c:pt idx="5">
                  <c:v>0.25903460123762601</c:v>
                </c:pt>
                <c:pt idx="6">
                  <c:v>0.23831428816357553</c:v>
                </c:pt>
                <c:pt idx="7">
                  <c:v>0.20819599329039151</c:v>
                </c:pt>
                <c:pt idx="8">
                  <c:v>0.16946346387274924</c:v>
                </c:pt>
              </c:numCache>
            </c:numRef>
          </c:val>
          <c:extLst>
            <c:ext xmlns:c16="http://schemas.microsoft.com/office/drawing/2014/chart" uri="{C3380CC4-5D6E-409C-BE32-E72D297353CC}">
              <c16:uniqueId val="{00000004-3872-4FE5-B9AB-50C66883FDBC}"/>
            </c:ext>
          </c:extLst>
        </c:ser>
        <c:ser>
          <c:idx val="5"/>
          <c:order val="5"/>
          <c:tx>
            <c:strRef>
              <c:f>ResponseSurfaceVSRT!$R$47</c:f>
              <c:strCache>
                <c:ptCount val="1"/>
                <c:pt idx="0">
                  <c:v>13.9</c:v>
                </c:pt>
              </c:strCache>
            </c:strRef>
          </c:tx>
          <c:spPr>
            <a:sp3d prstMaterial="flat"/>
          </c:spPr>
          <c:cat>
            <c:numRef>
              <c:f>ResponseSurfaceVSRT!$S$41:$AA$41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ResponseSurfaceVSRT!$S$48:$AA$48</c:f>
              <c:numCache>
                <c:formatCode>0.00</c:formatCode>
                <c:ptCount val="9"/>
                <c:pt idx="0">
                  <c:v>0.29510762432219706</c:v>
                </c:pt>
                <c:pt idx="1">
                  <c:v>0.29383597954481022</c:v>
                </c:pt>
                <c:pt idx="2">
                  <c:v>0.29156382170757889</c:v>
                </c:pt>
                <c:pt idx="3">
                  <c:v>0.28754262573985245</c:v>
                </c:pt>
                <c:pt idx="4">
                  <c:v>0.28054511151008749</c:v>
                </c:pt>
                <c:pt idx="5">
                  <c:v>0.26871854506835047</c:v>
                </c:pt>
                <c:pt idx="6">
                  <c:v>0.2496830363353324</c:v>
                </c:pt>
                <c:pt idx="7">
                  <c:v>0.22132843518551051</c:v>
                </c:pt>
                <c:pt idx="8">
                  <c:v>0.18361744570558647</c:v>
                </c:pt>
              </c:numCache>
            </c:numRef>
          </c:val>
          <c:extLst>
            <c:ext xmlns:c16="http://schemas.microsoft.com/office/drawing/2014/chart" uri="{C3380CC4-5D6E-409C-BE32-E72D297353CC}">
              <c16:uniqueId val="{00000005-3872-4FE5-B9AB-50C66883FDBC}"/>
            </c:ext>
          </c:extLst>
        </c:ser>
        <c:ser>
          <c:idx val="6"/>
          <c:order val="6"/>
          <c:tx>
            <c:strRef>
              <c:f>ResponseSurfaceVSRT!$R$49</c:f>
              <c:strCache>
                <c:ptCount val="1"/>
                <c:pt idx="0">
                  <c:v>17.9</c:v>
                </c:pt>
              </c:strCache>
            </c:strRef>
          </c:tx>
          <c:spPr>
            <a:sp3d prstMaterial="flat"/>
          </c:spPr>
          <c:cat>
            <c:numRef>
              <c:f>ResponseSurfaceVSRT!$S$41:$AA$41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ResponseSurfaceVSRT!$S$49:$AA$49</c:f>
              <c:numCache>
                <c:formatCode>0.00</c:formatCode>
                <c:ptCount val="9"/>
                <c:pt idx="0">
                  <c:v>0.3001784703154895</c:v>
                </c:pt>
                <c:pt idx="1">
                  <c:v>0.29903847750868912</c:v>
                </c:pt>
                <c:pt idx="2">
                  <c:v>0.2969986356213164</c:v>
                </c:pt>
                <c:pt idx="3">
                  <c:v>0.29337938623946946</c:v>
                </c:pt>
                <c:pt idx="4">
                  <c:v>0.28705314363570128</c:v>
                </c:pt>
                <c:pt idx="5">
                  <c:v>0.27627897990113853</c:v>
                </c:pt>
                <c:pt idx="6">
                  <c:v>0.25871729402942817</c:v>
                </c:pt>
                <c:pt idx="7">
                  <c:v>0.23204226298174771</c:v>
                </c:pt>
                <c:pt idx="8">
                  <c:v>0.19557435427627184</c:v>
                </c:pt>
              </c:numCache>
            </c:numRef>
          </c:val>
          <c:extLst>
            <c:ext xmlns:c16="http://schemas.microsoft.com/office/drawing/2014/chart" uri="{C3380CC4-5D6E-409C-BE32-E72D297353CC}">
              <c16:uniqueId val="{00000006-3872-4FE5-B9AB-50C66883FDBC}"/>
            </c:ext>
          </c:extLst>
        </c:ser>
        <c:ser>
          <c:idx val="7"/>
          <c:order val="7"/>
          <c:tx>
            <c:strRef>
              <c:f>ResponseSurfaceVSRT!$R$50</c:f>
              <c:strCache>
                <c:ptCount val="1"/>
                <c:pt idx="0">
                  <c:v>19.9</c:v>
                </c:pt>
              </c:strCache>
            </c:strRef>
          </c:tx>
          <c:spPr>
            <a:sp3d prstMaterial="flat"/>
          </c:spPr>
          <c:cat>
            <c:numRef>
              <c:f>ResponseSurfaceVSRT!$S$41:$AA$41</c:f>
              <c:numCache>
                <c:formatCode>0</c:formatCode>
                <c:ptCount val="9"/>
                <c:pt idx="0">
                  <c:v>32</c:v>
                </c:pt>
                <c:pt idx="1">
                  <c:v>37</c:v>
                </c:pt>
                <c:pt idx="2">
                  <c:v>42</c:v>
                </c:pt>
                <c:pt idx="3">
                  <c:v>47</c:v>
                </c:pt>
                <c:pt idx="4">
                  <c:v>52</c:v>
                </c:pt>
                <c:pt idx="5">
                  <c:v>57</c:v>
                </c:pt>
                <c:pt idx="6">
                  <c:v>62</c:v>
                </c:pt>
                <c:pt idx="7">
                  <c:v>67</c:v>
                </c:pt>
                <c:pt idx="8">
                  <c:v>72</c:v>
                </c:pt>
              </c:numCache>
            </c:numRef>
          </c:cat>
          <c:val>
            <c:numRef>
              <c:f>ResponseSurfaceVSRT!$S$50:$AA$50</c:f>
              <c:numCache>
                <c:formatCode>0.00</c:formatCode>
                <c:ptCount val="9"/>
                <c:pt idx="0">
                  <c:v>0.30416978486593244</c:v>
                </c:pt>
                <c:pt idx="1">
                  <c:v>0.30313717665325407</c:v>
                </c:pt>
                <c:pt idx="2">
                  <c:v>0.30128739720342662</c:v>
                </c:pt>
                <c:pt idx="3">
                  <c:v>0.29799876958018928</c:v>
                </c:pt>
                <c:pt idx="4">
                  <c:v>0.29223006746178692</c:v>
                </c:pt>
                <c:pt idx="5">
                  <c:v>0.28234536093647611</c:v>
                </c:pt>
                <c:pt idx="6">
                  <c:v>0.26606916502557065</c:v>
                </c:pt>
                <c:pt idx="7">
                  <c:v>0.24094929475463095</c:v>
                </c:pt>
                <c:pt idx="8">
                  <c:v>0.20580891094941317</c:v>
                </c:pt>
              </c:numCache>
            </c:numRef>
          </c:val>
          <c:extLst>
            <c:ext xmlns:c16="http://schemas.microsoft.com/office/drawing/2014/chart" uri="{C3380CC4-5D6E-409C-BE32-E72D297353CC}">
              <c16:uniqueId val="{00000007-3872-4FE5-B9AB-50C66883FDBC}"/>
            </c:ext>
          </c:extLst>
        </c:ser>
        <c:bandFmts>
          <c:bandFmt>
            <c:idx val="0"/>
            <c:spPr>
              <a:sp3d prstMaterial="flat"/>
            </c:spPr>
          </c:bandFmt>
          <c:bandFmt>
            <c:idx val="1"/>
            <c:spPr>
              <a:sp3d prstMaterial="flat"/>
            </c:spPr>
          </c:bandFmt>
          <c:bandFmt>
            <c:idx val="2"/>
            <c:spPr>
              <a:sp3d prstMaterial="flat"/>
            </c:spPr>
          </c:bandFmt>
        </c:bandFmts>
        <c:axId val="50756992"/>
        <c:axId val="50763264"/>
        <c:axId val="50732096"/>
      </c:surface3DChart>
      <c:catAx>
        <c:axId val="50756992"/>
        <c:scaling>
          <c:orientation val="minMax"/>
        </c:scaling>
        <c:delete val="0"/>
        <c:axPos val="b"/>
        <c:majorGridlines/>
        <c:title>
          <c:tx>
            <c:rich>
              <a:bodyPr/>
              <a:lstStyle/>
              <a:p>
                <a:pPr>
                  <a:defRPr/>
                </a:pPr>
                <a:r>
                  <a:rPr lang="en-AU"/>
                  <a:t>VS (kgm-3)</a:t>
                </a:r>
              </a:p>
            </c:rich>
          </c:tx>
          <c:layout>
            <c:manualLayout>
              <c:xMode val="edge"/>
              <c:yMode val="edge"/>
              <c:x val="0.28876030031129829"/>
              <c:y val="0.72782321564643138"/>
            </c:manualLayout>
          </c:layout>
          <c:overlay val="0"/>
        </c:title>
        <c:numFmt formatCode="0" sourceLinked="1"/>
        <c:majorTickMark val="out"/>
        <c:minorTickMark val="none"/>
        <c:tickLblPos val="low"/>
        <c:txPr>
          <a:bodyPr rot="-5400000" vert="horz"/>
          <a:lstStyle/>
          <a:p>
            <a:pPr>
              <a:defRPr/>
            </a:pPr>
            <a:endParaRPr lang="en-US"/>
          </a:p>
        </c:txPr>
        <c:crossAx val="50763264"/>
        <c:crosses val="autoZero"/>
        <c:auto val="1"/>
        <c:lblAlgn val="ctr"/>
        <c:lblOffset val="100"/>
        <c:tickLblSkip val="2"/>
        <c:tickMarkSkip val="1"/>
        <c:noMultiLvlLbl val="1"/>
      </c:catAx>
      <c:valAx>
        <c:axId val="50763264"/>
        <c:scaling>
          <c:orientation val="minMax"/>
          <c:min val="0"/>
        </c:scaling>
        <c:delete val="0"/>
        <c:axPos val="l"/>
        <c:majorGridlines/>
        <c:title>
          <c:tx>
            <c:rich>
              <a:bodyPr rot="0" vert="horz"/>
              <a:lstStyle/>
              <a:p>
                <a:pPr>
                  <a:defRPr/>
                </a:pPr>
                <a:r>
                  <a:rPr lang="en-AU">
                    <a:latin typeface="Times New Roman" panose="02020603050405020304" pitchFamily="18" charset="0"/>
                    <a:cs typeface="Times New Roman" panose="02020603050405020304" pitchFamily="18" charset="0"/>
                  </a:rPr>
                  <a:t>CH4/kgVS</a:t>
                </a:r>
              </a:p>
            </c:rich>
          </c:tx>
          <c:layout>
            <c:manualLayout>
              <c:xMode val="edge"/>
              <c:yMode val="edge"/>
              <c:x val="5.1679790026246716E-2"/>
              <c:y val="0.49193590720514774"/>
            </c:manualLayout>
          </c:layout>
          <c:overlay val="0"/>
        </c:title>
        <c:numFmt formatCode="0.00" sourceLinked="0"/>
        <c:majorTickMark val="out"/>
        <c:minorTickMark val="none"/>
        <c:tickLblPos val="nextTo"/>
        <c:txPr>
          <a:bodyPr rot="0" vert="horz"/>
          <a:lstStyle/>
          <a:p>
            <a:pPr>
              <a:defRPr/>
            </a:pPr>
            <a:endParaRPr lang="en-US"/>
          </a:p>
        </c:txPr>
        <c:crossAx val="50756992"/>
        <c:crosses val="autoZero"/>
        <c:crossBetween val="between"/>
      </c:valAx>
      <c:serAx>
        <c:axId val="50732096"/>
        <c:scaling>
          <c:orientation val="minMax"/>
        </c:scaling>
        <c:delete val="0"/>
        <c:axPos val="b"/>
        <c:majorGridlines>
          <c:spPr>
            <a:ln w="3175">
              <a:solidFill>
                <a:srgbClr val="808080"/>
              </a:solidFill>
              <a:prstDash val="solid"/>
            </a:ln>
          </c:spPr>
        </c:majorGridlines>
        <c:title>
          <c:tx>
            <c:rich>
              <a:bodyPr/>
              <a:lstStyle/>
              <a:p>
                <a:pPr>
                  <a:defRPr/>
                </a:pPr>
                <a:r>
                  <a:rPr lang="en-AU">
                    <a:latin typeface="Times New Roman" panose="02020603050405020304" pitchFamily="18" charset="0"/>
                    <a:cs typeface="Times New Roman" panose="02020603050405020304" pitchFamily="18" charset="0"/>
                  </a:rPr>
                  <a:t>RT (days)</a:t>
                </a:r>
              </a:p>
            </c:rich>
          </c:tx>
          <c:layout>
            <c:manualLayout>
              <c:xMode val="edge"/>
              <c:yMode val="edge"/>
              <c:x val="0.76938126920181493"/>
              <c:y val="0.6431457962915925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763264"/>
        <c:crosses val="autoZero"/>
        <c:tickLblSkip val="5"/>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ayout>
        <c:manualLayout>
          <c:xMode val="edge"/>
          <c:yMode val="edge"/>
          <c:x val="0.20348877901890169"/>
          <c:y val="0.88709762086190835"/>
          <c:w val="0.57170644367128531"/>
          <c:h val="9.6774193548387122E-2"/>
        </c:manualLayout>
      </c:layout>
      <c:overlay val="0"/>
      <c:txPr>
        <a:bodyPr/>
        <a:lstStyle/>
        <a:p>
          <a:pPr rtl="0">
            <a:defRPr/>
          </a:pPr>
          <a:endParaRPr lang="en-US"/>
        </a:p>
      </c:txPr>
    </c:legend>
    <c:plotVisOnly val="1"/>
    <c:dispBlanksAs val="gap"/>
    <c:showDLblsOverMax val="0"/>
  </c:chart>
  <c:printSettings>
    <c:headerFooter alignWithMargins="0"/>
    <c:pageMargins b="1" l="0.750000000000001" r="0.750000000000001" t="1" header="0.5" footer="0.5"/>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Specific Gas Production Response Surface</a:t>
            </a:r>
          </a:p>
        </c:rich>
      </c:tx>
      <c:layout>
        <c:manualLayout>
          <c:xMode val="edge"/>
          <c:yMode val="edge"/>
          <c:x val="0.17635699607316527"/>
          <c:y val="3.0241935483870969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49"/>
          <c:h val="0.67742002171672377"/>
        </c:manualLayout>
      </c:layout>
      <c:surface3DChart>
        <c:wireframe val="0"/>
        <c:ser>
          <c:idx val="0"/>
          <c:order val="0"/>
          <c:tx>
            <c:strRef>
              <c:f>ResponseSurfaceTempRT!$B$42</c:f>
              <c:strCache>
                <c:ptCount val="1"/>
                <c:pt idx="0">
                  <c:v>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ResponseSurfaceTempRT!$C$42:$K$42</c:f>
              <c:numCache>
                <c:formatCode>0.00</c:formatCode>
                <c:ptCount val="9"/>
                <c:pt idx="0">
                  <c:v>0</c:v>
                </c:pt>
                <c:pt idx="1">
                  <c:v>0</c:v>
                </c:pt>
                <c:pt idx="2">
                  <c:v>0</c:v>
                </c:pt>
                <c:pt idx="3">
                  <c:v>0</c:v>
                </c:pt>
                <c:pt idx="4">
                  <c:v>1.1706069741971969</c:v>
                </c:pt>
                <c:pt idx="5">
                  <c:v>1.9765450216224651</c:v>
                </c:pt>
                <c:pt idx="6">
                  <c:v>2.340250366579451</c:v>
                </c:pt>
                <c:pt idx="7">
                  <c:v>2.4944505264203078</c:v>
                </c:pt>
                <c:pt idx="8">
                  <c:v>2.5571986644722302</c:v>
                </c:pt>
              </c:numCache>
            </c:numRef>
          </c:val>
          <c:extLst>
            <c:ext xmlns:c16="http://schemas.microsoft.com/office/drawing/2014/chart" uri="{C3380CC4-5D6E-409C-BE32-E72D297353CC}">
              <c16:uniqueId val="{00000000-0847-4FC7-B70F-307E6E22AA13}"/>
            </c:ext>
          </c:extLst>
        </c:ser>
        <c:ser>
          <c:idx val="1"/>
          <c:order val="1"/>
          <c:tx>
            <c:strRef>
              <c:f>ResponseSurfaceTempRT!$B$43</c:f>
              <c:strCache>
                <c:ptCount val="1"/>
                <c:pt idx="0">
                  <c:v>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ResponseSurfaceTempRT!$C$43:$K$43</c:f>
              <c:numCache>
                <c:formatCode>0.00</c:formatCode>
                <c:ptCount val="9"/>
                <c:pt idx="0">
                  <c:v>0</c:v>
                </c:pt>
                <c:pt idx="1">
                  <c:v>0</c:v>
                </c:pt>
                <c:pt idx="2">
                  <c:v>0</c:v>
                </c:pt>
                <c:pt idx="3">
                  <c:v>0.88814723786342309</c:v>
                </c:pt>
                <c:pt idx="4">
                  <c:v>1.5664611043451464</c:v>
                </c:pt>
                <c:pt idx="5">
                  <c:v>1.8992018364054102</c:v>
                </c:pt>
                <c:pt idx="6">
                  <c:v>2.0510505284989193</c:v>
                </c:pt>
                <c:pt idx="7">
                  <c:v>2.1157508965021137</c:v>
                </c:pt>
                <c:pt idx="8">
                  <c:v>2.142134230355432</c:v>
                </c:pt>
              </c:numCache>
            </c:numRef>
          </c:val>
          <c:extLst>
            <c:ext xmlns:c16="http://schemas.microsoft.com/office/drawing/2014/chart" uri="{C3380CC4-5D6E-409C-BE32-E72D297353CC}">
              <c16:uniqueId val="{00000001-0847-4FC7-B70F-307E6E22AA13}"/>
            </c:ext>
          </c:extLst>
        </c:ser>
        <c:ser>
          <c:idx val="2"/>
          <c:order val="2"/>
          <c:tx>
            <c:strRef>
              <c:f>ResponseSurfaceTempRT!$B$44</c:f>
              <c:strCache>
                <c:ptCount val="1"/>
                <c:pt idx="0">
                  <c:v>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ResponseSurfaceTempRT!$C$44:$K$44</c:f>
              <c:numCache>
                <c:formatCode>0.00</c:formatCode>
                <c:ptCount val="9"/>
                <c:pt idx="0">
                  <c:v>0</c:v>
                </c:pt>
                <c:pt idx="1">
                  <c:v>0</c:v>
                </c:pt>
                <c:pt idx="2">
                  <c:v>0.3853508534546593</c:v>
                </c:pt>
                <c:pt idx="3">
                  <c:v>1.0844440483229227</c:v>
                </c:pt>
                <c:pt idx="4">
                  <c:v>1.4485229262960826</c:v>
                </c:pt>
                <c:pt idx="5">
                  <c:v>1.6290981851120141</c:v>
                </c:pt>
                <c:pt idx="6">
                  <c:v>1.7119435754329704</c:v>
                </c:pt>
                <c:pt idx="7">
                  <c:v>1.747326712368424</c:v>
                </c:pt>
                <c:pt idx="8">
                  <c:v>1.7617695948130345</c:v>
                </c:pt>
              </c:numCache>
            </c:numRef>
          </c:val>
          <c:extLst>
            <c:ext xmlns:c16="http://schemas.microsoft.com/office/drawing/2014/chart" uri="{C3380CC4-5D6E-409C-BE32-E72D297353CC}">
              <c16:uniqueId val="{00000002-0847-4FC7-B70F-307E6E22AA13}"/>
            </c:ext>
          </c:extLst>
        </c:ser>
        <c:ser>
          <c:idx val="3"/>
          <c:order val="3"/>
          <c:tx>
            <c:strRef>
              <c:f>ResponseSurfaceTempRT!$B$45</c:f>
              <c:strCache>
                <c:ptCount val="1"/>
                <c:pt idx="0">
                  <c:v>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ResponseSurfaceTempRT!$C$45:$K$45</c:f>
              <c:numCache>
                <c:formatCode>0.00</c:formatCode>
                <c:ptCount val="9"/>
                <c:pt idx="0">
                  <c:v>0</c:v>
                </c:pt>
                <c:pt idx="1">
                  <c:v>0</c:v>
                </c:pt>
                <c:pt idx="2">
                  <c:v>0.62863120818870899</c:v>
                </c:pt>
                <c:pt idx="3">
                  <c:v>1.0585049470294969</c:v>
                </c:pt>
                <c:pt idx="4">
                  <c:v>1.2851735525132941</c:v>
                </c:pt>
                <c:pt idx="5">
                  <c:v>1.3983170594580481</c:v>
                </c:pt>
                <c:pt idx="6">
                  <c:v>1.4503868257125958</c:v>
                </c:pt>
                <c:pt idx="7">
                  <c:v>1.4726567347658004</c:v>
                </c:pt>
                <c:pt idx="8">
                  <c:v>1.4817523280322631</c:v>
                </c:pt>
              </c:numCache>
            </c:numRef>
          </c:val>
          <c:extLst>
            <c:ext xmlns:c16="http://schemas.microsoft.com/office/drawing/2014/chart" uri="{C3380CC4-5D6E-409C-BE32-E72D297353CC}">
              <c16:uniqueId val="{00000003-0847-4FC7-B70F-307E6E22AA13}"/>
            </c:ext>
          </c:extLst>
        </c:ser>
        <c:ser>
          <c:idx val="4"/>
          <c:order val="4"/>
          <c:tx>
            <c:strRef>
              <c:f>ResponseSurfaceTempRT!$B$46</c:f>
              <c:strCache>
                <c:ptCount val="1"/>
                <c:pt idx="0">
                  <c:v>11.9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ResponseSurfaceTempRT!$C$46:$K$46</c:f>
              <c:numCache>
                <c:formatCode>0.00</c:formatCode>
                <c:ptCount val="9"/>
                <c:pt idx="0">
                  <c:v>0</c:v>
                </c:pt>
                <c:pt idx="1">
                  <c:v>0.15530404884023205</c:v>
                </c:pt>
                <c:pt idx="2">
                  <c:v>0.6941333116099313</c:v>
                </c:pt>
                <c:pt idx="3">
                  <c:v>0.98493265563198262</c:v>
                </c:pt>
                <c:pt idx="4">
                  <c:v>1.1395052523400369</c:v>
                </c:pt>
                <c:pt idx="5">
                  <c:v>1.2169839678869943</c:v>
                </c:pt>
                <c:pt idx="6">
                  <c:v>1.2527129560824137</c:v>
                </c:pt>
                <c:pt idx="7">
                  <c:v>1.2680080050222777</c:v>
                </c:pt>
                <c:pt idx="8">
                  <c:v>1.2742573020559047</c:v>
                </c:pt>
              </c:numCache>
            </c:numRef>
          </c:val>
          <c:extLst>
            <c:ext xmlns:c16="http://schemas.microsoft.com/office/drawing/2014/chart" uri="{C3380CC4-5D6E-409C-BE32-E72D297353CC}">
              <c16:uniqueId val="{00000004-0847-4FC7-B70F-307E6E22AA13}"/>
            </c:ext>
          </c:extLst>
        </c:ser>
        <c:ser>
          <c:idx val="5"/>
          <c:order val="5"/>
          <c:tx>
            <c:strRef>
              <c:f>ResponseSurfaceTempRT!$B$47</c:f>
              <c:strCache>
                <c:ptCount val="1"/>
                <c:pt idx="0">
                  <c:v>13.9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ResponseSurfaceTempRT!$C$47:$K$47</c:f>
              <c:numCache>
                <c:formatCode>0.00</c:formatCode>
                <c:ptCount val="9"/>
                <c:pt idx="0">
                  <c:v>0</c:v>
                </c:pt>
                <c:pt idx="1">
                  <c:v>0.31156851233945454</c:v>
                </c:pt>
                <c:pt idx="2">
                  <c:v>0.69615080993394407</c:v>
                </c:pt>
                <c:pt idx="3">
                  <c:v>0.90588134237989792</c:v>
                </c:pt>
                <c:pt idx="4">
                  <c:v>1.017991067852493</c:v>
                </c:pt>
                <c:pt idx="5">
                  <c:v>1.0743507842765296</c:v>
                </c:pt>
                <c:pt idx="6">
                  <c:v>1.1003781469996294</c:v>
                </c:pt>
                <c:pt idx="7">
                  <c:v>1.1115272853166376</c:v>
                </c:pt>
                <c:pt idx="8">
                  <c:v>1.1160838786939438</c:v>
                </c:pt>
              </c:numCache>
            </c:numRef>
          </c:val>
          <c:extLst>
            <c:ext xmlns:c16="http://schemas.microsoft.com/office/drawing/2014/chart" uri="{C3380CC4-5D6E-409C-BE32-E72D297353CC}">
              <c16:uniqueId val="{00000005-0847-4FC7-B70F-307E6E22AA13}"/>
            </c:ext>
          </c:extLst>
        </c:ser>
        <c:ser>
          <c:idx val="6"/>
          <c:order val="6"/>
          <c:tx>
            <c:strRef>
              <c:f>ResponseSurfaceTempRT!$B$48</c:f>
              <c:strCache>
                <c:ptCount val="1"/>
                <c:pt idx="0">
                  <c:v>15.9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ResponseSurfaceTempRT!$C$48:$K$48</c:f>
              <c:numCache>
                <c:formatCode>0.00</c:formatCode>
                <c:ptCount val="9"/>
                <c:pt idx="0">
                  <c:v>0</c:v>
                </c:pt>
                <c:pt idx="1">
                  <c:v>0.38590683800717246</c:v>
                </c:pt>
                <c:pt idx="2">
                  <c:v>0.67411307796757725</c:v>
                </c:pt>
                <c:pt idx="3">
                  <c:v>0.83249275222497021</c:v>
                </c:pt>
                <c:pt idx="4">
                  <c:v>0.91750602506443701</c:v>
                </c:pt>
                <c:pt idx="5">
                  <c:v>0.96033710825428642</c:v>
                </c:pt>
                <c:pt idx="6">
                  <c:v>0.98013795940352677</c:v>
                </c:pt>
                <c:pt idx="7">
                  <c:v>0.98862398253108641</c:v>
                </c:pt>
                <c:pt idx="8">
                  <c:v>0.99209288096916448</c:v>
                </c:pt>
              </c:numCache>
            </c:numRef>
          </c:val>
          <c:extLst>
            <c:ext xmlns:c16="http://schemas.microsoft.com/office/drawing/2014/chart" uri="{C3380CC4-5D6E-409C-BE32-E72D297353CC}">
              <c16:uniqueId val="{00000006-0847-4FC7-B70F-307E6E22AA13}"/>
            </c:ext>
          </c:extLst>
        </c:ser>
        <c:ser>
          <c:idx val="7"/>
          <c:order val="7"/>
          <c:tx>
            <c:strRef>
              <c:f>ResponseSurfaceTempRT!$B$49</c:f>
              <c:strCache>
                <c:ptCount val="1"/>
                <c:pt idx="0">
                  <c:v>17.9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ResponseSurfaceTempRT!$C$49:$K$49</c:f>
              <c:numCache>
                <c:formatCode>0.00</c:formatCode>
                <c:ptCount val="9"/>
                <c:pt idx="0">
                  <c:v>9.4775140653172423E-3</c:v>
                </c:pt>
                <c:pt idx="1">
                  <c:v>0.41941572158452678</c:v>
                </c:pt>
                <c:pt idx="2">
                  <c:v>0.64340913930885002</c:v>
                </c:pt>
                <c:pt idx="3">
                  <c:v>0.76722433811413004</c:v>
                </c:pt>
                <c:pt idx="4">
                  <c:v>0.83389740050594796</c:v>
                </c:pt>
                <c:pt idx="5">
                  <c:v>0.86754494345939293</c:v>
                </c:pt>
                <c:pt idx="6">
                  <c:v>0.88311306975742976</c:v>
                </c:pt>
                <c:pt idx="7">
                  <c:v>0.88978756647833002</c:v>
                </c:pt>
                <c:pt idx="8">
                  <c:v>0.89251638278074519</c:v>
                </c:pt>
              </c:numCache>
            </c:numRef>
          </c:val>
          <c:extLst>
            <c:ext xmlns:c16="http://schemas.microsoft.com/office/drawing/2014/chart" uri="{C3380CC4-5D6E-409C-BE32-E72D297353CC}">
              <c16:uniqueId val="{00000007-0847-4FC7-B70F-307E6E22AA13}"/>
            </c:ext>
          </c:extLst>
        </c:ser>
        <c:ser>
          <c:idx val="8"/>
          <c:order val="8"/>
          <c:tx>
            <c:strRef>
              <c:f>ResponseSurfaceTempRT!$B$50</c:f>
              <c:strCache>
                <c:ptCount val="1"/>
                <c:pt idx="0">
                  <c:v>19.9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ResponseSurfaceTempRT!$C$50:$K$50</c:f>
              <c:numCache>
                <c:formatCode>0.00</c:formatCode>
                <c:ptCount val="9"/>
                <c:pt idx="0">
                  <c:v>0.10642091630739685</c:v>
                </c:pt>
                <c:pt idx="1">
                  <c:v>0.43141125517878665</c:v>
                </c:pt>
                <c:pt idx="2">
                  <c:v>0.61048595150953289</c:v>
                </c:pt>
                <c:pt idx="3">
                  <c:v>0.70993048340167131</c:v>
                </c:pt>
                <c:pt idx="4">
                  <c:v>0.76361625668406641</c:v>
                </c:pt>
                <c:pt idx="5">
                  <c:v>0.79074583664408948</c:v>
                </c:pt>
                <c:pt idx="6">
                  <c:v>0.8033064601476948</c:v>
                </c:pt>
                <c:pt idx="7">
                  <c:v>0.80869315378996975</c:v>
                </c:pt>
                <c:pt idx="8">
                  <c:v>0.81089573816645633</c:v>
                </c:pt>
              </c:numCache>
            </c:numRef>
          </c:val>
          <c:extLst>
            <c:ext xmlns:c16="http://schemas.microsoft.com/office/drawing/2014/chart" uri="{C3380CC4-5D6E-409C-BE32-E72D297353CC}">
              <c16:uniqueId val="{00000008-0847-4FC7-B70F-307E6E22AA13}"/>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s>
        <c:axId val="50461696"/>
        <c:axId val="89969792"/>
        <c:axId val="50454528"/>
      </c:surface3DChart>
      <c:catAx>
        <c:axId val="50461696"/>
        <c:scaling>
          <c:orientation val="minMax"/>
        </c:scaling>
        <c:delete val="0"/>
        <c:axPos val="b"/>
        <c:majorGridlines/>
        <c:title>
          <c:tx>
            <c:rich>
              <a:bodyPr/>
              <a:lstStyle/>
              <a:p>
                <a:pPr>
                  <a:defRPr/>
                </a:pPr>
                <a:r>
                  <a:rPr lang="en-AU"/>
                  <a:t>Temperature (oC)</a:t>
                </a:r>
              </a:p>
            </c:rich>
          </c:tx>
          <c:layout>
            <c:manualLayout>
              <c:xMode val="edge"/>
              <c:yMode val="edge"/>
              <c:x val="0.18992288754603348"/>
              <c:y val="0.72379095758191525"/>
            </c:manualLayout>
          </c:layout>
          <c:overlay val="0"/>
        </c:title>
        <c:numFmt formatCode="0" sourceLinked="1"/>
        <c:majorTickMark val="out"/>
        <c:minorTickMark val="none"/>
        <c:tickLblPos val="low"/>
        <c:txPr>
          <a:bodyPr rot="-5400000" vert="horz"/>
          <a:lstStyle/>
          <a:p>
            <a:pPr>
              <a:defRPr/>
            </a:pPr>
            <a:endParaRPr lang="en-US"/>
          </a:p>
        </c:txPr>
        <c:crossAx val="89969792"/>
        <c:crosses val="autoZero"/>
        <c:auto val="1"/>
        <c:lblAlgn val="ctr"/>
        <c:lblOffset val="100"/>
        <c:tickLblSkip val="2"/>
        <c:tickMarkSkip val="1"/>
        <c:noMultiLvlLbl val="1"/>
      </c:catAx>
      <c:valAx>
        <c:axId val="89969792"/>
        <c:scaling>
          <c:orientation val="minMax"/>
          <c:min val="0"/>
        </c:scaling>
        <c:delete val="0"/>
        <c:axPos val="l"/>
        <c:majorGridlines/>
        <c:title>
          <c:tx>
            <c:rich>
              <a:bodyPr rot="0" vert="horz"/>
              <a:lstStyle/>
              <a:p>
                <a:pPr>
                  <a:defRPr/>
                </a:pPr>
                <a:r>
                  <a:rPr lang="en-AU"/>
                  <a:t>SGP</a:t>
                </a:r>
              </a:p>
            </c:rich>
          </c:tx>
          <c:layout>
            <c:manualLayout>
              <c:xMode val="edge"/>
              <c:yMode val="edge"/>
              <c:x val="0.13372113369549735"/>
              <c:y val="0.48991977817288968"/>
            </c:manualLayout>
          </c:layout>
          <c:overlay val="0"/>
        </c:title>
        <c:numFmt formatCode="0.0" sourceLinked="0"/>
        <c:majorTickMark val="out"/>
        <c:minorTickMark val="none"/>
        <c:tickLblPos val="nextTo"/>
        <c:txPr>
          <a:bodyPr rot="0" vert="horz"/>
          <a:lstStyle/>
          <a:p>
            <a:pPr>
              <a:defRPr/>
            </a:pPr>
            <a:endParaRPr lang="en-US"/>
          </a:p>
        </c:txPr>
        <c:crossAx val="50461696"/>
        <c:crosses val="autoZero"/>
        <c:crossBetween val="midCat"/>
      </c:valAx>
      <c:serAx>
        <c:axId val="50454528"/>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6938126920181493"/>
              <c:y val="0.63911353822707639"/>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89969792"/>
        <c:crosses val="autoZero"/>
        <c:tickLblSkip val="2"/>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ayout>
        <c:manualLayout>
          <c:xMode val="edge"/>
          <c:yMode val="edge"/>
          <c:x val="0.20348877901890169"/>
          <c:y val="0.88709762086190835"/>
          <c:w val="0.48836558220920057"/>
          <c:h val="4.8609982219964487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Total Gas Production Response Surface</a:t>
            </a:r>
          </a:p>
        </c:rich>
      </c:tx>
      <c:layout>
        <c:manualLayout>
          <c:xMode val="edge"/>
          <c:yMode val="edge"/>
          <c:x val="0.20114982753592581"/>
          <c:y val="3.0181086519114688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4176271731830198"/>
          <c:y val="0.12676056338028169"/>
          <c:w val="0.76245353368492164"/>
          <c:h val="0.68008048289738432"/>
        </c:manualLayout>
      </c:layout>
      <c:surface3DChart>
        <c:wireframe val="0"/>
        <c:ser>
          <c:idx val="0"/>
          <c:order val="0"/>
          <c:tx>
            <c:strRef>
              <c:f>ResponseSurfaceTempRT!$B$54</c:f>
              <c:strCache>
                <c:ptCount val="1"/>
                <c:pt idx="0">
                  <c:v>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ResponseSurfaceTempRT!$C$54:$K$54</c:f>
              <c:numCache>
                <c:formatCode>0.0</c:formatCode>
                <c:ptCount val="9"/>
                <c:pt idx="0">
                  <c:v>0</c:v>
                </c:pt>
                <c:pt idx="1">
                  <c:v>0</c:v>
                </c:pt>
                <c:pt idx="2">
                  <c:v>0</c:v>
                </c:pt>
                <c:pt idx="3">
                  <c:v>0</c:v>
                </c:pt>
                <c:pt idx="4">
                  <c:v>4.5653671993690681</c:v>
                </c:pt>
                <c:pt idx="5">
                  <c:v>7.7085255843276146</c:v>
                </c:pt>
                <c:pt idx="6">
                  <c:v>9.1269764296598588</c:v>
                </c:pt>
                <c:pt idx="7">
                  <c:v>9.7283570530392023</c:v>
                </c:pt>
                <c:pt idx="8">
                  <c:v>9.9730747914416984</c:v>
                </c:pt>
              </c:numCache>
            </c:numRef>
          </c:val>
          <c:extLst>
            <c:ext xmlns:c16="http://schemas.microsoft.com/office/drawing/2014/chart" uri="{C3380CC4-5D6E-409C-BE32-E72D297353CC}">
              <c16:uniqueId val="{00000000-32C6-44FC-B647-3866F3B4E0FD}"/>
            </c:ext>
          </c:extLst>
        </c:ser>
        <c:ser>
          <c:idx val="1"/>
          <c:order val="1"/>
          <c:tx>
            <c:strRef>
              <c:f>ResponseSurfaceTempRT!$B$55</c:f>
              <c:strCache>
                <c:ptCount val="1"/>
                <c:pt idx="0">
                  <c:v>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ResponseSurfaceTempRT!$C$55:$K$55</c:f>
              <c:numCache>
                <c:formatCode>0.0</c:formatCode>
                <c:ptCount val="9"/>
                <c:pt idx="0">
                  <c:v>0</c:v>
                </c:pt>
                <c:pt idx="1">
                  <c:v>0</c:v>
                </c:pt>
                <c:pt idx="2">
                  <c:v>0</c:v>
                </c:pt>
                <c:pt idx="3">
                  <c:v>5.2400687033941962</c:v>
                </c:pt>
                <c:pt idx="4">
                  <c:v>9.2421205156363637</c:v>
                </c:pt>
                <c:pt idx="5">
                  <c:v>11.205290834791921</c:v>
                </c:pt>
                <c:pt idx="6">
                  <c:v>12.101198118143625</c:v>
                </c:pt>
                <c:pt idx="7">
                  <c:v>12.482930289362471</c:v>
                </c:pt>
                <c:pt idx="8">
                  <c:v>12.638591959097051</c:v>
                </c:pt>
              </c:numCache>
            </c:numRef>
          </c:val>
          <c:extLst>
            <c:ext xmlns:c16="http://schemas.microsoft.com/office/drawing/2014/chart" uri="{C3380CC4-5D6E-409C-BE32-E72D297353CC}">
              <c16:uniqueId val="{00000001-32C6-44FC-B647-3866F3B4E0FD}"/>
            </c:ext>
          </c:extLst>
        </c:ser>
        <c:ser>
          <c:idx val="2"/>
          <c:order val="2"/>
          <c:tx>
            <c:strRef>
              <c:f>ResponseSurfaceTempRT!$B$56</c:f>
              <c:strCache>
                <c:ptCount val="1"/>
                <c:pt idx="0">
                  <c:v>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ResponseSurfaceTempRT!$C$56:$K$56</c:f>
              <c:numCache>
                <c:formatCode>0.0</c:formatCode>
                <c:ptCount val="9"/>
                <c:pt idx="0">
                  <c:v>0</c:v>
                </c:pt>
                <c:pt idx="1">
                  <c:v>0</c:v>
                </c:pt>
                <c:pt idx="2">
                  <c:v>3.0442717422918086</c:v>
                </c:pt>
                <c:pt idx="3">
                  <c:v>8.5671079817510893</c:v>
                </c:pt>
                <c:pt idx="4">
                  <c:v>11.443331117739053</c:v>
                </c:pt>
                <c:pt idx="5">
                  <c:v>12.869875662384912</c:v>
                </c:pt>
                <c:pt idx="6">
                  <c:v>13.524354245920467</c:v>
                </c:pt>
                <c:pt idx="7">
                  <c:v>13.803881027710549</c:v>
                </c:pt>
                <c:pt idx="8">
                  <c:v>13.917979799022973</c:v>
                </c:pt>
              </c:numCache>
            </c:numRef>
          </c:val>
          <c:extLst>
            <c:ext xmlns:c16="http://schemas.microsoft.com/office/drawing/2014/chart" uri="{C3380CC4-5D6E-409C-BE32-E72D297353CC}">
              <c16:uniqueId val="{00000002-32C6-44FC-B647-3866F3B4E0FD}"/>
            </c:ext>
          </c:extLst>
        </c:ser>
        <c:ser>
          <c:idx val="3"/>
          <c:order val="3"/>
          <c:tx>
            <c:strRef>
              <c:f>ResponseSurfaceTempRT!$B$57</c:f>
              <c:strCache>
                <c:ptCount val="1"/>
                <c:pt idx="0">
                  <c:v>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ResponseSurfaceTempRT!$C$57:$K$57</c:f>
              <c:numCache>
                <c:formatCode>0.0</c:formatCode>
                <c:ptCount val="9"/>
                <c:pt idx="0">
                  <c:v>0</c:v>
                </c:pt>
                <c:pt idx="1">
                  <c:v>0</c:v>
                </c:pt>
                <c:pt idx="2">
                  <c:v>6.2234489610682191</c:v>
                </c:pt>
                <c:pt idx="3">
                  <c:v>10.47919897559202</c:v>
                </c:pt>
                <c:pt idx="4">
                  <c:v>12.723218169881612</c:v>
                </c:pt>
                <c:pt idx="5">
                  <c:v>13.843338888634676</c:v>
                </c:pt>
                <c:pt idx="6">
                  <c:v>14.358829574554699</c:v>
                </c:pt>
                <c:pt idx="7">
                  <c:v>14.579301674181425</c:v>
                </c:pt>
                <c:pt idx="8">
                  <c:v>14.669348047519405</c:v>
                </c:pt>
              </c:numCache>
            </c:numRef>
          </c:val>
          <c:extLst>
            <c:ext xmlns:c16="http://schemas.microsoft.com/office/drawing/2014/chart" uri="{C3380CC4-5D6E-409C-BE32-E72D297353CC}">
              <c16:uniqueId val="{00000003-32C6-44FC-B647-3866F3B4E0FD}"/>
            </c:ext>
          </c:extLst>
        </c:ser>
        <c:ser>
          <c:idx val="4"/>
          <c:order val="4"/>
          <c:tx>
            <c:strRef>
              <c:f>ResponseSurfaceTempRT!$B$58</c:f>
              <c:strCache>
                <c:ptCount val="1"/>
                <c:pt idx="0">
                  <c:v>11.9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ResponseSurfaceTempRT!$C$58:$K$58</c:f>
              <c:numCache>
                <c:formatCode>0.0</c:formatCode>
                <c:ptCount val="9"/>
                <c:pt idx="0">
                  <c:v>0</c:v>
                </c:pt>
                <c:pt idx="1">
                  <c:v>1.8481181811987615</c:v>
                </c:pt>
                <c:pt idx="2">
                  <c:v>8.2601864081581819</c:v>
                </c:pt>
                <c:pt idx="3">
                  <c:v>11.720698602020594</c:v>
                </c:pt>
                <c:pt idx="4">
                  <c:v>13.560112502846438</c:v>
                </c:pt>
                <c:pt idx="5">
                  <c:v>14.482109217855232</c:v>
                </c:pt>
                <c:pt idx="6">
                  <c:v>14.907284177380724</c:v>
                </c:pt>
                <c:pt idx="7">
                  <c:v>15.089295259765105</c:v>
                </c:pt>
                <c:pt idx="8">
                  <c:v>15.163661894465266</c:v>
                </c:pt>
              </c:numCache>
            </c:numRef>
          </c:val>
          <c:extLst>
            <c:ext xmlns:c16="http://schemas.microsoft.com/office/drawing/2014/chart" uri="{C3380CC4-5D6E-409C-BE32-E72D297353CC}">
              <c16:uniqueId val="{00000004-32C6-44FC-B647-3866F3B4E0FD}"/>
            </c:ext>
          </c:extLst>
        </c:ser>
        <c:ser>
          <c:idx val="5"/>
          <c:order val="5"/>
          <c:tx>
            <c:strRef>
              <c:f>ResponseSurfaceTempRT!$B$59</c:f>
              <c:strCache>
                <c:ptCount val="1"/>
                <c:pt idx="0">
                  <c:v>13.9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ResponseSurfaceTempRT!$C$59:$K$59</c:f>
              <c:numCache>
                <c:formatCode>0.0</c:formatCode>
                <c:ptCount val="9"/>
                <c:pt idx="0">
                  <c:v>0</c:v>
                </c:pt>
                <c:pt idx="1">
                  <c:v>4.3308023215184184</c:v>
                </c:pt>
                <c:pt idx="2">
                  <c:v>9.6764962580818228</c:v>
                </c:pt>
                <c:pt idx="3">
                  <c:v>12.591750659080581</c:v>
                </c:pt>
                <c:pt idx="4">
                  <c:v>14.150075843149654</c:v>
                </c:pt>
                <c:pt idx="5">
                  <c:v>14.933475901443762</c:v>
                </c:pt>
                <c:pt idx="6">
                  <c:v>15.295256243294849</c:v>
                </c:pt>
                <c:pt idx="7">
                  <c:v>15.450229265901262</c:v>
                </c:pt>
                <c:pt idx="8">
                  <c:v>15.513565913845818</c:v>
                </c:pt>
              </c:numCache>
            </c:numRef>
          </c:val>
          <c:extLst>
            <c:ext xmlns:c16="http://schemas.microsoft.com/office/drawing/2014/chart" uri="{C3380CC4-5D6E-409C-BE32-E72D297353CC}">
              <c16:uniqueId val="{00000005-32C6-44FC-B647-3866F3B4E0FD}"/>
            </c:ext>
          </c:extLst>
        </c:ser>
        <c:ser>
          <c:idx val="6"/>
          <c:order val="6"/>
          <c:tx>
            <c:strRef>
              <c:f>ResponseSurfaceTempRT!$B$60</c:f>
              <c:strCache>
                <c:ptCount val="1"/>
                <c:pt idx="0">
                  <c:v>15.9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ResponseSurfaceTempRT!$C$60:$K$60</c:f>
              <c:numCache>
                <c:formatCode>0.0</c:formatCode>
                <c:ptCount val="9"/>
                <c:pt idx="0">
                  <c:v>0</c:v>
                </c:pt>
                <c:pt idx="1">
                  <c:v>6.1359187243140418</c:v>
                </c:pt>
                <c:pt idx="2">
                  <c:v>10.718397939684479</c:v>
                </c:pt>
                <c:pt idx="3">
                  <c:v>13.236634760377026</c:v>
                </c:pt>
                <c:pt idx="4">
                  <c:v>14.588345798524548</c:v>
                </c:pt>
                <c:pt idx="5">
                  <c:v>15.269360021243154</c:v>
                </c:pt>
                <c:pt idx="6">
                  <c:v>15.584193554516077</c:v>
                </c:pt>
                <c:pt idx="7">
                  <c:v>15.719121322244273</c:v>
                </c:pt>
                <c:pt idx="8">
                  <c:v>15.774276807409716</c:v>
                </c:pt>
              </c:numCache>
            </c:numRef>
          </c:val>
          <c:extLst>
            <c:ext xmlns:c16="http://schemas.microsoft.com/office/drawing/2014/chart" uri="{C3380CC4-5D6E-409C-BE32-E72D297353CC}">
              <c16:uniqueId val="{00000006-32C6-44FC-B647-3866F3B4E0FD}"/>
            </c:ext>
          </c:extLst>
        </c:ser>
        <c:ser>
          <c:idx val="7"/>
          <c:order val="7"/>
          <c:tx>
            <c:strRef>
              <c:f>ResponseSurfaceTempRT!$B$61</c:f>
              <c:strCache>
                <c:ptCount val="1"/>
                <c:pt idx="0">
                  <c:v>17.9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ResponseSurfaceTempRT!$C$61:$K$61</c:f>
              <c:numCache>
                <c:formatCode>0.0</c:formatCode>
                <c:ptCount val="9"/>
                <c:pt idx="0">
                  <c:v>0.16964750176917862</c:v>
                </c:pt>
                <c:pt idx="1">
                  <c:v>7.5075414163630292</c:v>
                </c:pt>
                <c:pt idx="2">
                  <c:v>11.517023593628414</c:v>
                </c:pt>
                <c:pt idx="3">
                  <c:v>13.733315652242927</c:v>
                </c:pt>
                <c:pt idx="4">
                  <c:v>14.926763469056468</c:v>
                </c:pt>
                <c:pt idx="5">
                  <c:v>15.529054487923132</c:v>
                </c:pt>
                <c:pt idx="6">
                  <c:v>15.807723948657991</c:v>
                </c:pt>
                <c:pt idx="7">
                  <c:v>15.927197439962105</c:v>
                </c:pt>
                <c:pt idx="8">
                  <c:v>15.976043251775337</c:v>
                </c:pt>
              </c:numCache>
            </c:numRef>
          </c:val>
          <c:extLst>
            <c:ext xmlns:c16="http://schemas.microsoft.com/office/drawing/2014/chart" uri="{C3380CC4-5D6E-409C-BE32-E72D297353CC}">
              <c16:uniqueId val="{00000007-32C6-44FC-B647-3866F3B4E0FD}"/>
            </c:ext>
          </c:extLst>
        </c:ser>
        <c:ser>
          <c:idx val="8"/>
          <c:order val="8"/>
          <c:tx>
            <c:strRef>
              <c:f>ResponseSurfaceTempRT!$B$62</c:f>
              <c:strCache>
                <c:ptCount val="1"/>
                <c:pt idx="0">
                  <c:v>19.9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ResponseSurfaceTempRT!$C$62:$K$62</c:f>
              <c:numCache>
                <c:formatCode>0.0</c:formatCode>
                <c:ptCount val="9"/>
                <c:pt idx="0">
                  <c:v>2.1177762345171973</c:v>
                </c:pt>
                <c:pt idx="1">
                  <c:v>8.5850839780578543</c:v>
                </c:pt>
                <c:pt idx="2">
                  <c:v>12.148670435039703</c:v>
                </c:pt>
                <c:pt idx="3">
                  <c:v>14.127616619693258</c:v>
                </c:pt>
                <c:pt idx="4">
                  <c:v>15.19596350801292</c:v>
                </c:pt>
                <c:pt idx="5">
                  <c:v>15.73584214921738</c:v>
                </c:pt>
                <c:pt idx="6">
                  <c:v>15.985798556939125</c:v>
                </c:pt>
                <c:pt idx="7">
                  <c:v>16.092993760420399</c:v>
                </c:pt>
                <c:pt idx="8">
                  <c:v>16.136825189512479</c:v>
                </c:pt>
              </c:numCache>
            </c:numRef>
          </c:val>
          <c:extLst>
            <c:ext xmlns:c16="http://schemas.microsoft.com/office/drawing/2014/chart" uri="{C3380CC4-5D6E-409C-BE32-E72D297353CC}">
              <c16:uniqueId val="{00000008-32C6-44FC-B647-3866F3B4E0FD}"/>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
            <c:idx val="4"/>
            <c:spPr>
              <a:sp3d prstMaterial="flat"/>
            </c:spPr>
          </c:bandFmt>
        </c:bandFmts>
        <c:axId val="50520832"/>
        <c:axId val="50522752"/>
        <c:axId val="50484544"/>
      </c:surface3DChart>
      <c:catAx>
        <c:axId val="50520832"/>
        <c:scaling>
          <c:orientation val="minMax"/>
        </c:scaling>
        <c:delete val="0"/>
        <c:axPos val="b"/>
        <c:majorGridlines/>
        <c:title>
          <c:tx>
            <c:rich>
              <a:bodyPr/>
              <a:lstStyle/>
              <a:p>
                <a:pPr>
                  <a:defRPr/>
                </a:pPr>
                <a:r>
                  <a:rPr lang="en-AU"/>
                  <a:t>Temperature (oC)</a:t>
                </a:r>
              </a:p>
            </c:rich>
          </c:tx>
          <c:layout>
            <c:manualLayout>
              <c:xMode val="edge"/>
              <c:yMode val="edge"/>
              <c:x val="0.18199273941332045"/>
              <c:y val="0.73038229376257546"/>
            </c:manualLayout>
          </c:layout>
          <c:overlay val="0"/>
        </c:title>
        <c:numFmt formatCode="0" sourceLinked="1"/>
        <c:majorTickMark val="out"/>
        <c:minorTickMark val="none"/>
        <c:tickLblPos val="low"/>
        <c:txPr>
          <a:bodyPr rot="-5400000" vert="horz"/>
          <a:lstStyle/>
          <a:p>
            <a:pPr>
              <a:defRPr/>
            </a:pPr>
            <a:endParaRPr lang="en-US"/>
          </a:p>
        </c:txPr>
        <c:crossAx val="50522752"/>
        <c:crosses val="autoZero"/>
        <c:auto val="1"/>
        <c:lblAlgn val="ctr"/>
        <c:lblOffset val="100"/>
        <c:tickLblSkip val="2"/>
        <c:tickMarkSkip val="1"/>
        <c:noMultiLvlLbl val="1"/>
      </c:catAx>
      <c:valAx>
        <c:axId val="50522752"/>
        <c:scaling>
          <c:orientation val="minMax"/>
          <c:min val="0"/>
        </c:scaling>
        <c:delete val="0"/>
        <c:axPos val="l"/>
        <c:majorGridlines/>
        <c:title>
          <c:tx>
            <c:rich>
              <a:bodyPr rot="0" vert="horz"/>
              <a:lstStyle/>
              <a:p>
                <a:pPr>
                  <a:defRPr/>
                </a:pPr>
                <a:r>
                  <a:rPr lang="en-AU"/>
                  <a:t>TGP</a:t>
                </a:r>
              </a:p>
            </c:rich>
          </c:tx>
          <c:layout>
            <c:manualLayout>
              <c:xMode val="edge"/>
              <c:yMode val="edge"/>
              <c:x val="0.13793123560704337"/>
              <c:y val="0.49094567404426559"/>
            </c:manualLayout>
          </c:layout>
          <c:overlay val="0"/>
        </c:title>
        <c:numFmt formatCode="0" sourceLinked="0"/>
        <c:majorTickMark val="out"/>
        <c:minorTickMark val="none"/>
        <c:tickLblPos val="nextTo"/>
        <c:txPr>
          <a:bodyPr rot="0" vert="horz"/>
          <a:lstStyle/>
          <a:p>
            <a:pPr>
              <a:defRPr/>
            </a:pPr>
            <a:endParaRPr lang="en-US"/>
          </a:p>
        </c:txPr>
        <c:crossAx val="50520832"/>
        <c:crosses val="autoZero"/>
        <c:crossBetween val="between"/>
      </c:valAx>
      <c:serAx>
        <c:axId val="50484544"/>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5095926227612353"/>
              <c:y val="0.64788732394366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522752"/>
        <c:crosses val="autoZero"/>
        <c:tickLblSkip val="2"/>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egendEntry>
        <c:idx val="4"/>
        <c:txPr>
          <a:bodyPr/>
          <a:lstStyle/>
          <a:p>
            <a:pPr rtl="0">
              <a:defRPr/>
            </a:pPr>
            <a:endParaRPr lang="en-US"/>
          </a:p>
        </c:txPr>
      </c:legendEntry>
      <c:layout>
        <c:manualLayout>
          <c:xMode val="edge"/>
          <c:yMode val="edge"/>
          <c:x val="0.20881266278496796"/>
          <c:y val="0.88732394366197187"/>
          <c:w val="0.54597801711567673"/>
          <c:h val="9.657947686116696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312280647617631"/>
          <c:y val="0.21875000000000017"/>
          <c:w val="0.57992617689048065"/>
          <c:h val="0.51249999999999996"/>
        </c:manualLayout>
      </c:layout>
      <c:scatterChart>
        <c:scatterStyle val="lineMarker"/>
        <c:varyColors val="0"/>
        <c:ser>
          <c:idx val="3"/>
          <c:order val="0"/>
          <c:tx>
            <c:strRef>
              <c:f>'Temp&amp;RT'!$D$30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'Temp&amp;RT'!$G$30:$G$38</c:f>
              <c:numCache>
                <c:formatCode>0.000</c:formatCode>
                <c:ptCount val="9"/>
                <c:pt idx="0">
                  <c:v>0</c:v>
                </c:pt>
                <c:pt idx="1">
                  <c:v>0</c:v>
                </c:pt>
                <c:pt idx="2">
                  <c:v>0</c:v>
                </c:pt>
                <c:pt idx="3">
                  <c:v>0</c:v>
                </c:pt>
                <c:pt idx="4">
                  <c:v>1.1706069741971969</c:v>
                </c:pt>
                <c:pt idx="5">
                  <c:v>1.9765450216224651</c:v>
                </c:pt>
                <c:pt idx="6">
                  <c:v>2.340250366579451</c:v>
                </c:pt>
                <c:pt idx="7">
                  <c:v>2.4944505264203078</c:v>
                </c:pt>
                <c:pt idx="8">
                  <c:v>2.5571986644722302</c:v>
                </c:pt>
              </c:numCache>
            </c:numRef>
          </c:yVal>
          <c:smooth val="1"/>
          <c:extLst>
            <c:ext xmlns:c16="http://schemas.microsoft.com/office/drawing/2014/chart" uri="{C3380CC4-5D6E-409C-BE32-E72D297353CC}">
              <c16:uniqueId val="{00000000-6BCF-4947-8005-D57976A9F355}"/>
            </c:ext>
          </c:extLst>
        </c:ser>
        <c:ser>
          <c:idx val="0"/>
          <c:order val="1"/>
          <c:tx>
            <c:strRef>
              <c:f>'Temp&amp;RT'!$D$39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'Temp&amp;RT'!$G$39:$G$47</c:f>
              <c:numCache>
                <c:formatCode>0.000</c:formatCode>
                <c:ptCount val="9"/>
                <c:pt idx="0">
                  <c:v>0</c:v>
                </c:pt>
                <c:pt idx="1">
                  <c:v>0.15530404884023205</c:v>
                </c:pt>
                <c:pt idx="2">
                  <c:v>0.6941333116099313</c:v>
                </c:pt>
                <c:pt idx="3">
                  <c:v>0.98493265563198262</c:v>
                </c:pt>
                <c:pt idx="4">
                  <c:v>1.1395052523400369</c:v>
                </c:pt>
                <c:pt idx="5">
                  <c:v>1.2169839678869943</c:v>
                </c:pt>
                <c:pt idx="6">
                  <c:v>1.2527129560824137</c:v>
                </c:pt>
                <c:pt idx="7">
                  <c:v>1.2680080050222777</c:v>
                </c:pt>
                <c:pt idx="8">
                  <c:v>1.2742573020559047</c:v>
                </c:pt>
              </c:numCache>
            </c:numRef>
          </c:yVal>
          <c:smooth val="1"/>
          <c:extLst>
            <c:ext xmlns:c16="http://schemas.microsoft.com/office/drawing/2014/chart" uri="{C3380CC4-5D6E-409C-BE32-E72D297353CC}">
              <c16:uniqueId val="{00000001-6BCF-4947-8005-D57976A9F355}"/>
            </c:ext>
          </c:extLst>
        </c:ser>
        <c:ser>
          <c:idx val="1"/>
          <c:order val="2"/>
          <c:tx>
            <c:strRef>
              <c:f>'Temp&amp;RT'!$D$48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'Temp&amp;RT'!$G$48:$G$56</c:f>
              <c:numCache>
                <c:formatCode>0.000</c:formatCode>
                <c:ptCount val="9"/>
                <c:pt idx="0">
                  <c:v>0.10642091630739685</c:v>
                </c:pt>
                <c:pt idx="1">
                  <c:v>0.43141125517878665</c:v>
                </c:pt>
                <c:pt idx="2">
                  <c:v>0.61048595150953289</c:v>
                </c:pt>
                <c:pt idx="3">
                  <c:v>0.70993048340167131</c:v>
                </c:pt>
                <c:pt idx="4">
                  <c:v>0.76361625668406641</c:v>
                </c:pt>
                <c:pt idx="5">
                  <c:v>0.79074583664408948</c:v>
                </c:pt>
                <c:pt idx="6">
                  <c:v>0.8033064601476948</c:v>
                </c:pt>
                <c:pt idx="7">
                  <c:v>0.80869315378996975</c:v>
                </c:pt>
                <c:pt idx="8">
                  <c:v>0.81089573816645633</c:v>
                </c:pt>
              </c:numCache>
            </c:numRef>
          </c:yVal>
          <c:smooth val="1"/>
          <c:extLst>
            <c:ext xmlns:c16="http://schemas.microsoft.com/office/drawing/2014/chart" uri="{C3380CC4-5D6E-409C-BE32-E72D297353CC}">
              <c16:uniqueId val="{00000002-6BCF-4947-8005-D57976A9F355}"/>
            </c:ext>
          </c:extLst>
        </c:ser>
        <c:dLbls>
          <c:showLegendKey val="0"/>
          <c:showVal val="0"/>
          <c:showCatName val="0"/>
          <c:showSerName val="0"/>
          <c:showPercent val="0"/>
          <c:showBubbleSize val="0"/>
        </c:dLbls>
        <c:axId val="50983680"/>
        <c:axId val="50985984"/>
      </c:scatterChart>
      <c:scatterChart>
        <c:scatterStyle val="lineMarker"/>
        <c:varyColors val="0"/>
        <c:ser>
          <c:idx val="2"/>
          <c:order val="3"/>
          <c:tx>
            <c:strRef>
              <c:f>'Temp&amp;RT'!$D$30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'Temp&amp;RT'!$H$30:$H$38</c:f>
              <c:numCache>
                <c:formatCode>0.0</c:formatCode>
                <c:ptCount val="9"/>
                <c:pt idx="0">
                  <c:v>0</c:v>
                </c:pt>
                <c:pt idx="1">
                  <c:v>0</c:v>
                </c:pt>
                <c:pt idx="2">
                  <c:v>0</c:v>
                </c:pt>
                <c:pt idx="3">
                  <c:v>0</c:v>
                </c:pt>
                <c:pt idx="4">
                  <c:v>4.5653671993690681</c:v>
                </c:pt>
                <c:pt idx="5">
                  <c:v>7.7085255843276146</c:v>
                </c:pt>
                <c:pt idx="6">
                  <c:v>9.1269764296598588</c:v>
                </c:pt>
                <c:pt idx="7">
                  <c:v>9.7283570530392023</c:v>
                </c:pt>
                <c:pt idx="8">
                  <c:v>9.9730747914416984</c:v>
                </c:pt>
              </c:numCache>
            </c:numRef>
          </c:yVal>
          <c:smooth val="1"/>
          <c:extLst>
            <c:ext xmlns:c16="http://schemas.microsoft.com/office/drawing/2014/chart" uri="{C3380CC4-5D6E-409C-BE32-E72D297353CC}">
              <c16:uniqueId val="{00000003-6BCF-4947-8005-D57976A9F355}"/>
            </c:ext>
          </c:extLst>
        </c:ser>
        <c:ser>
          <c:idx val="4"/>
          <c:order val="4"/>
          <c:tx>
            <c:strRef>
              <c:f>'Temp&amp;RT'!$D$39</c:f>
              <c:strCache>
                <c:ptCount val="1"/>
                <c:pt idx="0">
                  <c:v>11.9</c:v>
                </c:pt>
              </c:strCache>
            </c:strRef>
          </c:tx>
          <c:spPr>
            <a:ln w="12700">
              <a:solidFill>
                <a:srgbClr val="000080"/>
              </a:solidFill>
              <a:prstDash val="sysDash"/>
            </a:ln>
          </c:spPr>
          <c:marker>
            <c:symbol val="star"/>
            <c:size val="5"/>
            <c:spPr>
              <a:noFill/>
              <a:ln>
                <a:solidFill>
                  <a:srgbClr val="00008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'Temp&amp;RT'!$H$39:$H$47</c:f>
              <c:numCache>
                <c:formatCode>0.0</c:formatCode>
                <c:ptCount val="9"/>
                <c:pt idx="0">
                  <c:v>0</c:v>
                </c:pt>
                <c:pt idx="1">
                  <c:v>1.8481181811987615</c:v>
                </c:pt>
                <c:pt idx="2">
                  <c:v>8.2601864081581819</c:v>
                </c:pt>
                <c:pt idx="3">
                  <c:v>11.720698602020594</c:v>
                </c:pt>
                <c:pt idx="4">
                  <c:v>13.560112502846438</c:v>
                </c:pt>
                <c:pt idx="5">
                  <c:v>14.482109217855232</c:v>
                </c:pt>
                <c:pt idx="6">
                  <c:v>14.907284177380724</c:v>
                </c:pt>
                <c:pt idx="7">
                  <c:v>15.089295259765105</c:v>
                </c:pt>
                <c:pt idx="8">
                  <c:v>15.163661894465266</c:v>
                </c:pt>
              </c:numCache>
            </c:numRef>
          </c:yVal>
          <c:smooth val="1"/>
          <c:extLst>
            <c:ext xmlns:c16="http://schemas.microsoft.com/office/drawing/2014/chart" uri="{C3380CC4-5D6E-409C-BE32-E72D297353CC}">
              <c16:uniqueId val="{00000004-6BCF-4947-8005-D57976A9F355}"/>
            </c:ext>
          </c:extLst>
        </c:ser>
        <c:ser>
          <c:idx val="5"/>
          <c:order val="5"/>
          <c:tx>
            <c:strRef>
              <c:f>'Temp&amp;RT'!$D$48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'Temp&amp;RT'!$H$48:$H$56</c:f>
              <c:numCache>
                <c:formatCode>0.0</c:formatCode>
                <c:ptCount val="9"/>
                <c:pt idx="0">
                  <c:v>2.1177762345171973</c:v>
                </c:pt>
                <c:pt idx="1">
                  <c:v>8.5850839780578543</c:v>
                </c:pt>
                <c:pt idx="2">
                  <c:v>12.148670435039703</c:v>
                </c:pt>
                <c:pt idx="3">
                  <c:v>14.127616619693258</c:v>
                </c:pt>
                <c:pt idx="4">
                  <c:v>15.19596350801292</c:v>
                </c:pt>
                <c:pt idx="5">
                  <c:v>15.73584214921738</c:v>
                </c:pt>
                <c:pt idx="6">
                  <c:v>15.985798556939125</c:v>
                </c:pt>
                <c:pt idx="7">
                  <c:v>16.092993760420399</c:v>
                </c:pt>
                <c:pt idx="8">
                  <c:v>16.136825189512479</c:v>
                </c:pt>
              </c:numCache>
            </c:numRef>
          </c:yVal>
          <c:smooth val="1"/>
          <c:extLst>
            <c:ext xmlns:c16="http://schemas.microsoft.com/office/drawing/2014/chart" uri="{C3380CC4-5D6E-409C-BE32-E72D297353CC}">
              <c16:uniqueId val="{00000005-6BCF-4947-8005-D57976A9F355}"/>
            </c:ext>
          </c:extLst>
        </c:ser>
        <c:dLbls>
          <c:showLegendKey val="0"/>
          <c:showVal val="0"/>
          <c:showCatName val="0"/>
          <c:showSerName val="0"/>
          <c:showPercent val="0"/>
          <c:showBubbleSize val="0"/>
        </c:dLbls>
        <c:axId val="89347200"/>
        <c:axId val="89348736"/>
      </c:scatterChart>
      <c:valAx>
        <c:axId val="50983680"/>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Temperature (</a:t>
                </a:r>
                <a:r>
                  <a:rPr lang="en-US" sz="800" b="0" i="0" strike="noStrike" baseline="30000">
                    <a:solidFill>
                      <a:srgbClr val="000000"/>
                    </a:solidFill>
                    <a:latin typeface="Times New Roman" panose="02020603050405020304" pitchFamily="18" charset="0"/>
                    <a:cs typeface="Times New Roman" panose="02020603050405020304" pitchFamily="18" charset="0"/>
                  </a:rPr>
                  <a:t>O</a:t>
                </a:r>
                <a:r>
                  <a:rPr lang="en-US" sz="800" b="0" i="0" strike="noStrike">
                    <a:solidFill>
                      <a:srgbClr val="000000"/>
                    </a:solidFill>
                    <a:latin typeface="Times New Roman" panose="02020603050405020304" pitchFamily="18" charset="0"/>
                    <a:cs typeface="Times New Roman" panose="02020603050405020304" pitchFamily="18" charset="0"/>
                  </a:rPr>
                  <a:t>C)</a:t>
                </a:r>
              </a:p>
            </c:rich>
          </c:tx>
          <c:layout>
            <c:manualLayout>
              <c:xMode val="edge"/>
              <c:yMode val="edge"/>
              <c:x val="0.3729242218330075"/>
              <c:y val="0.83714253413054851"/>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85984"/>
        <c:crosses val="autoZero"/>
        <c:crossBetween val="midCat"/>
      </c:valAx>
      <c:valAx>
        <c:axId val="50985984"/>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Specific Methane Production (m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digester/day) </a:t>
                </a:r>
              </a:p>
            </c:rich>
          </c:tx>
          <c:layout>
            <c:manualLayout>
              <c:xMode val="edge"/>
              <c:yMode val="edge"/>
              <c:x val="3.869240240837022E-2"/>
              <c:y val="0.10607999999999999"/>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83680"/>
        <c:crosses val="autoZero"/>
        <c:crossBetween val="midCat"/>
      </c:valAx>
      <c:valAx>
        <c:axId val="89347200"/>
        <c:scaling>
          <c:orientation val="minMax"/>
        </c:scaling>
        <c:delete val="1"/>
        <c:axPos val="b"/>
        <c:numFmt formatCode="General" sourceLinked="1"/>
        <c:majorTickMark val="out"/>
        <c:minorTickMark val="none"/>
        <c:tickLblPos val="nextTo"/>
        <c:crossAx val="89348736"/>
        <c:crosses val="autoZero"/>
        <c:crossBetween val="midCat"/>
      </c:valAx>
      <c:valAx>
        <c:axId val="89348736"/>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Times New Roman" panose="02020603050405020304" pitchFamily="18" charset="0"/>
                    <a:cs typeface="Times New Roman" panose="02020603050405020304" pitchFamily="18" charset="0"/>
                  </a:rPr>
                  <a:t>Total Methane Production (m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/day) </a:t>
                </a:r>
              </a:p>
            </c:rich>
          </c:tx>
          <c:layout>
            <c:manualLayout>
              <c:xMode val="edge"/>
              <c:yMode val="edge"/>
              <c:x val="0.79609922173763592"/>
              <c:y val="0.25929448818897638"/>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347200"/>
        <c:crosses val="max"/>
        <c:crossBetween val="midCat"/>
      </c:valAx>
      <c:spPr>
        <a:noFill/>
        <a:ln w="12700">
          <a:solidFill>
            <a:srgbClr val="000000"/>
          </a:solidFill>
          <a:prstDash val="solid"/>
        </a:ln>
      </c:spPr>
    </c:plotArea>
    <c:legend>
      <c:legendPos val="r"/>
      <c:layout>
        <c:manualLayout>
          <c:xMode val="edge"/>
          <c:yMode val="edge"/>
          <c:x val="0.85486799990709128"/>
          <c:y val="0.35882414698162729"/>
          <c:w val="0.1274338141360648"/>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51545043294395"/>
          <c:y val="0.20937500000000001"/>
          <c:w val="0.53131417951818871"/>
          <c:h val="0.50624999999999998"/>
        </c:manualLayout>
      </c:layout>
      <c:scatterChart>
        <c:scatterStyle val="smoothMarker"/>
        <c:varyColors val="0"/>
        <c:ser>
          <c:idx val="0"/>
          <c:order val="0"/>
          <c:tx>
            <c:strRef>
              <c:f>'Temp&amp;RT'!$D$30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'Temp&amp;RT'!$I$30:$I$38</c:f>
              <c:numCache>
                <c:formatCode>0.0</c:formatCode>
                <c:ptCount val="9"/>
                <c:pt idx="0">
                  <c:v>52</c:v>
                </c:pt>
                <c:pt idx="1">
                  <c:v>52</c:v>
                </c:pt>
                <c:pt idx="2">
                  <c:v>52</c:v>
                </c:pt>
                <c:pt idx="3">
                  <c:v>52</c:v>
                </c:pt>
                <c:pt idx="4">
                  <c:v>42.869265601261866</c:v>
                </c:pt>
                <c:pt idx="5">
                  <c:v>36.582948831344773</c:v>
                </c:pt>
                <c:pt idx="6">
                  <c:v>33.746047140680282</c:v>
                </c:pt>
                <c:pt idx="7">
                  <c:v>32.543285893921592</c:v>
                </c:pt>
                <c:pt idx="8">
                  <c:v>32.053850417116607</c:v>
                </c:pt>
              </c:numCache>
            </c:numRef>
          </c:yVal>
          <c:smooth val="1"/>
          <c:extLst>
            <c:ext xmlns:c16="http://schemas.microsoft.com/office/drawing/2014/chart" uri="{C3380CC4-5D6E-409C-BE32-E72D297353CC}">
              <c16:uniqueId val="{00000000-50A7-4F28-91B9-09854718E47C}"/>
            </c:ext>
          </c:extLst>
        </c:ser>
        <c:ser>
          <c:idx val="1"/>
          <c:order val="1"/>
          <c:tx>
            <c:strRef>
              <c:f>'Temp&amp;RT'!$D$39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'Temp&amp;RT'!$C$39:$C$47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'Temp&amp;RT'!$I$39:$I$47</c:f>
              <c:numCache>
                <c:formatCode>0.0</c:formatCode>
                <c:ptCount val="9"/>
                <c:pt idx="0">
                  <c:v>52</c:v>
                </c:pt>
                <c:pt idx="1">
                  <c:v>48.303763637602479</c:v>
                </c:pt>
                <c:pt idx="2">
                  <c:v>35.479627183683633</c:v>
                </c:pt>
                <c:pt idx="3">
                  <c:v>28.558602795958812</c:v>
                </c:pt>
                <c:pt idx="4">
                  <c:v>24.879774994307123</c:v>
                </c:pt>
                <c:pt idx="5">
                  <c:v>23.035781564289536</c:v>
                </c:pt>
                <c:pt idx="6">
                  <c:v>22.185431645238552</c:v>
                </c:pt>
                <c:pt idx="7">
                  <c:v>21.821409480469789</c:v>
                </c:pt>
                <c:pt idx="8">
                  <c:v>21.672676211069469</c:v>
                </c:pt>
              </c:numCache>
            </c:numRef>
          </c:yVal>
          <c:smooth val="1"/>
          <c:extLst>
            <c:ext xmlns:c16="http://schemas.microsoft.com/office/drawing/2014/chart" uri="{C3380CC4-5D6E-409C-BE32-E72D297353CC}">
              <c16:uniqueId val="{00000001-50A7-4F28-91B9-09854718E47C}"/>
            </c:ext>
          </c:extLst>
        </c:ser>
        <c:ser>
          <c:idx val="2"/>
          <c:order val="2"/>
          <c:tx>
            <c:strRef>
              <c:f>'Temp&amp;RT'!$D$48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'Temp&amp;RT'!$C$48:$C$56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'Temp&amp;RT'!$I$48:$I$56</c:f>
              <c:numCache>
                <c:formatCode>0.0</c:formatCode>
                <c:ptCount val="9"/>
                <c:pt idx="0">
                  <c:v>47.764447530965604</c:v>
                </c:pt>
                <c:pt idx="1">
                  <c:v>34.829832043884295</c:v>
                </c:pt>
                <c:pt idx="2">
                  <c:v>27.702659129920594</c:v>
                </c:pt>
                <c:pt idx="3">
                  <c:v>23.744766760613484</c:v>
                </c:pt>
                <c:pt idx="4">
                  <c:v>21.608072983974161</c:v>
                </c:pt>
                <c:pt idx="5">
                  <c:v>20.528315701565241</c:v>
                </c:pt>
                <c:pt idx="6">
                  <c:v>20.02840288612175</c:v>
                </c:pt>
                <c:pt idx="7">
                  <c:v>19.814012479159203</c:v>
                </c:pt>
                <c:pt idx="8">
                  <c:v>19.726349620975043</c:v>
                </c:pt>
              </c:numCache>
            </c:numRef>
          </c:yVal>
          <c:smooth val="1"/>
          <c:extLst>
            <c:ext xmlns:c16="http://schemas.microsoft.com/office/drawing/2014/chart" uri="{C3380CC4-5D6E-409C-BE32-E72D297353CC}">
              <c16:uniqueId val="{00000002-50A7-4F28-91B9-09854718E47C}"/>
            </c:ext>
          </c:extLst>
        </c:ser>
        <c:dLbls>
          <c:showLegendKey val="0"/>
          <c:showVal val="0"/>
          <c:showCatName val="0"/>
          <c:showSerName val="0"/>
          <c:showPercent val="0"/>
          <c:showBubbleSize val="0"/>
        </c:dLbls>
        <c:axId val="51006464"/>
        <c:axId val="51017216"/>
      </c:scatterChart>
      <c:scatterChart>
        <c:scatterStyle val="lineMarker"/>
        <c:varyColors val="0"/>
        <c:ser>
          <c:idx val="3"/>
          <c:order val="3"/>
          <c:tx>
            <c:strRef>
              <c:f>'Temp&amp;RT'!$D$30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'Temp&amp;RT'!$J$30:$J$38</c:f>
              <c:numCache>
                <c:formatCode>0%</c:formatCode>
                <c:ptCount val="9"/>
                <c:pt idx="0">
                  <c:v>0</c:v>
                </c:pt>
                <c:pt idx="1">
                  <c:v>0</c:v>
                </c:pt>
                <c:pt idx="2">
                  <c:v>0</c:v>
                </c:pt>
                <c:pt idx="3">
                  <c:v>0</c:v>
                </c:pt>
                <c:pt idx="4">
                  <c:v>0.17559104612957951</c:v>
                </c:pt>
                <c:pt idx="5">
                  <c:v>0.29648175324336978</c:v>
                </c:pt>
                <c:pt idx="6">
                  <c:v>0.35103755498691763</c:v>
                </c:pt>
                <c:pt idx="7">
                  <c:v>0.37416757896304631</c:v>
                </c:pt>
                <c:pt idx="8">
                  <c:v>0.3835797996708345</c:v>
                </c:pt>
              </c:numCache>
            </c:numRef>
          </c:yVal>
          <c:smooth val="1"/>
          <c:extLst>
            <c:ext xmlns:c16="http://schemas.microsoft.com/office/drawing/2014/chart" uri="{C3380CC4-5D6E-409C-BE32-E72D297353CC}">
              <c16:uniqueId val="{00000003-50A7-4F28-91B9-09854718E47C}"/>
            </c:ext>
          </c:extLst>
        </c:ser>
        <c:ser>
          <c:idx val="4"/>
          <c:order val="4"/>
          <c:tx>
            <c:strRef>
              <c:f>'Temp&amp;RT'!$D$39</c:f>
              <c:strCache>
                <c:ptCount val="1"/>
                <c:pt idx="0">
                  <c:v>11.9</c:v>
                </c:pt>
              </c:strCache>
            </c:strRef>
          </c:tx>
          <c:spPr>
            <a:ln w="12700">
              <a:solidFill>
                <a:srgbClr val="000080"/>
              </a:solidFill>
              <a:prstDash val="sysDash"/>
            </a:ln>
          </c:spPr>
          <c:marker>
            <c:symbol val="x"/>
            <c:size val="5"/>
            <c:spPr>
              <a:noFill/>
              <a:ln>
                <a:solidFill>
                  <a:srgbClr val="000080"/>
                </a:solidFill>
                <a:prstDash val="solid"/>
              </a:ln>
            </c:spPr>
          </c:marker>
          <c:xVal>
            <c:numRef>
              <c:f>'Temp&amp;RT'!$C$39:$C$47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'Temp&amp;RT'!$J$39:$J$47</c:f>
              <c:numCache>
                <c:formatCode>0%</c:formatCode>
                <c:ptCount val="9"/>
                <c:pt idx="0">
                  <c:v>0</c:v>
                </c:pt>
                <c:pt idx="1">
                  <c:v>7.108146850764463E-2</c:v>
                </c:pt>
                <c:pt idx="2">
                  <c:v>0.31769947723685321</c:v>
                </c:pt>
                <c:pt idx="3">
                  <c:v>0.45079610007771515</c:v>
                </c:pt>
                <c:pt idx="4">
                  <c:v>0.52154278857101688</c:v>
                </c:pt>
                <c:pt idx="5">
                  <c:v>0.55700420068673973</c:v>
                </c:pt>
                <c:pt idx="6">
                  <c:v>0.5733570837454125</c:v>
                </c:pt>
                <c:pt idx="7">
                  <c:v>0.58035750999096558</c:v>
                </c:pt>
                <c:pt idx="8">
                  <c:v>0.58321776517174095</c:v>
                </c:pt>
              </c:numCache>
            </c:numRef>
          </c:yVal>
          <c:smooth val="1"/>
          <c:extLst>
            <c:ext xmlns:c16="http://schemas.microsoft.com/office/drawing/2014/chart" uri="{C3380CC4-5D6E-409C-BE32-E72D297353CC}">
              <c16:uniqueId val="{00000004-50A7-4F28-91B9-09854718E47C}"/>
            </c:ext>
          </c:extLst>
        </c:ser>
        <c:ser>
          <c:idx val="5"/>
          <c:order val="5"/>
          <c:tx>
            <c:strRef>
              <c:f>'Temp&amp;RT'!$D$48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'Temp&amp;RT'!$C$48:$C$56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'Temp&amp;RT'!$J$48:$J$56</c:f>
              <c:numCache>
                <c:formatCode>0%</c:formatCode>
                <c:ptCount val="9"/>
                <c:pt idx="0">
                  <c:v>8.1452932096815298E-2</c:v>
                </c:pt>
                <c:pt idx="1">
                  <c:v>0.33019553761760972</c:v>
                </c:pt>
                <c:pt idx="2">
                  <c:v>0.46725655519383474</c:v>
                </c:pt>
                <c:pt idx="3">
                  <c:v>0.54336986998820225</c:v>
                </c:pt>
                <c:pt idx="4">
                  <c:v>0.58446013492357385</c:v>
                </c:pt>
                <c:pt idx="5">
                  <c:v>0.60522469804682233</c:v>
                </c:pt>
                <c:pt idx="6">
                  <c:v>0.61483840603612017</c:v>
                </c:pt>
                <c:pt idx="7">
                  <c:v>0.61896129847770764</c:v>
                </c:pt>
                <c:pt idx="8">
                  <c:v>0.62064712267355682</c:v>
                </c:pt>
              </c:numCache>
            </c:numRef>
          </c:yVal>
          <c:smooth val="1"/>
          <c:extLst>
            <c:ext xmlns:c16="http://schemas.microsoft.com/office/drawing/2014/chart" uri="{C3380CC4-5D6E-409C-BE32-E72D297353CC}">
              <c16:uniqueId val="{00000005-50A7-4F28-91B9-09854718E47C}"/>
            </c:ext>
          </c:extLst>
        </c:ser>
        <c:dLbls>
          <c:showLegendKey val="0"/>
          <c:showVal val="0"/>
          <c:showCatName val="0"/>
          <c:showSerName val="0"/>
          <c:showPercent val="0"/>
          <c:showBubbleSize val="0"/>
        </c:dLbls>
        <c:axId val="51019136"/>
        <c:axId val="51037312"/>
      </c:scatterChart>
      <c:valAx>
        <c:axId val="51006464"/>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Temperature (</a:t>
                </a:r>
                <a:r>
                  <a:rPr lang="en-US" sz="800" b="0" i="0" strike="noStrike" baseline="30000">
                    <a:solidFill>
                      <a:srgbClr val="000000"/>
                    </a:solidFill>
                    <a:latin typeface="Times New Roman" panose="02020603050405020304" pitchFamily="18" charset="0"/>
                    <a:cs typeface="Times New Roman" panose="02020603050405020304" pitchFamily="18" charset="0"/>
                  </a:rPr>
                  <a:t>o</a:t>
                </a:r>
                <a:r>
                  <a:rPr lang="en-US" sz="800" b="0" i="0" strike="noStrike">
                    <a:solidFill>
                      <a:srgbClr val="000000"/>
                    </a:solidFill>
                    <a:latin typeface="Times New Roman" panose="02020603050405020304" pitchFamily="18" charset="0"/>
                    <a:cs typeface="Times New Roman" panose="02020603050405020304" pitchFamily="18" charset="0"/>
                  </a:rPr>
                  <a:t>C)</a:t>
                </a:r>
              </a:p>
            </c:rich>
          </c:tx>
          <c:layout>
            <c:manualLayout>
              <c:xMode val="edge"/>
              <c:yMode val="edge"/>
              <c:x val="0.36043924792189047"/>
              <c:y val="0.824459481883047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17216"/>
        <c:crosses val="autoZero"/>
        <c:crossBetween val="midCat"/>
      </c:valAx>
      <c:valAx>
        <c:axId val="51017216"/>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Exit VS (kgm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 </a:t>
                </a:r>
              </a:p>
            </c:rich>
          </c:tx>
          <c:layout>
            <c:manualLayout>
              <c:xMode val="edge"/>
              <c:yMode val="edge"/>
              <c:x val="3.8535645472061654E-2"/>
              <c:y val="0.320588544079048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06464"/>
        <c:crosses val="autoZero"/>
        <c:crossBetween val="midCat"/>
      </c:valAx>
      <c:valAx>
        <c:axId val="51019136"/>
        <c:scaling>
          <c:orientation val="minMax"/>
        </c:scaling>
        <c:delete val="1"/>
        <c:axPos val="b"/>
        <c:numFmt formatCode="General" sourceLinked="1"/>
        <c:majorTickMark val="out"/>
        <c:minorTickMark val="none"/>
        <c:tickLblPos val="nextTo"/>
        <c:crossAx val="51037312"/>
        <c:crosses val="autoZero"/>
        <c:crossBetween val="midCat"/>
      </c:valAx>
      <c:valAx>
        <c:axId val="51037312"/>
        <c:scaling>
          <c:orientation val="minMax"/>
          <c:min val="0"/>
        </c:scaling>
        <c:delete val="0"/>
        <c:axPos val="r"/>
        <c:title>
          <c:tx>
            <c:rich>
              <a:bodyPr/>
              <a:lstStyle/>
              <a:p>
                <a:pPr>
                  <a:defRPr sz="800" b="0" i="0" u="none" strike="noStrike" baseline="0">
                    <a:solidFill>
                      <a:srgbClr val="000000"/>
                    </a:solidFill>
                    <a:latin typeface="Times New Roman" panose="02020603050405020304" pitchFamily="18" charset="0"/>
                    <a:ea typeface="Arial"/>
                    <a:cs typeface="Times New Roman" panose="02020603050405020304" pitchFamily="18" charset="0"/>
                  </a:defRPr>
                </a:pPr>
                <a:r>
                  <a:rPr lang="en-AU">
                    <a:latin typeface="Times New Roman" panose="02020603050405020304" pitchFamily="18" charset="0"/>
                    <a:cs typeface="Times New Roman" panose="02020603050405020304" pitchFamily="18" charset="0"/>
                  </a:rPr>
                  <a:t>%VS Reduction </a:t>
                </a:r>
              </a:p>
            </c:rich>
          </c:tx>
          <c:layout>
            <c:manualLayout>
              <c:xMode val="edge"/>
              <c:yMode val="edge"/>
              <c:x val="0.78227501909082175"/>
              <c:y val="0.3176473676084606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19136"/>
        <c:crosses val="max"/>
        <c:crossBetween val="midCat"/>
      </c:valAx>
      <c:spPr>
        <a:noFill/>
        <a:ln w="12700">
          <a:solidFill>
            <a:srgbClr val="000000"/>
          </a:solidFill>
          <a:prstDash val="solid"/>
        </a:ln>
      </c:spPr>
    </c:plotArea>
    <c:legend>
      <c:legendPos val="r"/>
      <c:layout>
        <c:manualLayout>
          <c:xMode val="edge"/>
          <c:yMode val="edge"/>
          <c:x val="0.84778581868017933"/>
          <c:y val="0.32058854407904891"/>
          <c:w val="0.13872852598627483"/>
          <c:h val="0.33823591168750966"/>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000073675001147"/>
          <c:y val="3.519061583577713E-2"/>
        </c:manualLayout>
      </c:layout>
      <c:overlay val="0"/>
      <c:spPr>
        <a:noFill/>
        <a:ln w="25400">
          <a:noFill/>
        </a:ln>
      </c:spPr>
    </c:title>
    <c:autoTitleDeleted val="0"/>
    <c:plotArea>
      <c:layout>
        <c:manualLayout>
          <c:layoutTarget val="inner"/>
          <c:xMode val="edge"/>
          <c:yMode val="edge"/>
          <c:x val="0.14180504324399179"/>
          <c:y val="0.21183865069682986"/>
          <c:w val="0.60036940386417392"/>
          <c:h val="0.51713552964225973"/>
        </c:manualLayout>
      </c:layout>
      <c:scatterChart>
        <c:scatterStyle val="lineMarker"/>
        <c:varyColors val="0"/>
        <c:ser>
          <c:idx val="4"/>
          <c:order val="0"/>
          <c:tx>
            <c:strRef>
              <c:f>'VS&amp;RT'!$D$30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'VS&amp;RT'!$B$30:$B$38</c:f>
              <c:numCache>
                <c:formatCode>General</c:formatCode>
                <c:ptCount val="9"/>
                <c:pt idx="0">
                  <c:v>32</c:v>
                </c:pt>
                <c:pt idx="1">
                  <c:v>37</c:v>
                </c:pt>
                <c:pt idx="2">
                  <c:v>42</c:v>
                </c:pt>
                <c:pt idx="3">
                  <c:v>47</c:v>
                </c:pt>
                <c:pt idx="4" formatCode="0.0">
                  <c:v>52</c:v>
                </c:pt>
                <c:pt idx="5">
                  <c:v>57</c:v>
                </c:pt>
                <c:pt idx="6">
                  <c:v>62</c:v>
                </c:pt>
                <c:pt idx="7">
                  <c:v>67</c:v>
                </c:pt>
                <c:pt idx="8">
                  <c:v>72</c:v>
                </c:pt>
              </c:numCache>
            </c:numRef>
          </c:xVal>
          <c:yVal>
            <c:numRef>
              <c:f>'VS&amp;RT'!$G$30:$G$38</c:f>
              <c:numCache>
                <c:formatCode>0.000</c:formatCode>
                <c:ptCount val="9"/>
                <c:pt idx="0">
                  <c:v>0.91865115688823085</c:v>
                </c:pt>
                <c:pt idx="1">
                  <c:v>1.0383621548840232</c:v>
                </c:pt>
                <c:pt idx="2">
                  <c:v>1.13272622173279</c:v>
                </c:pt>
                <c:pt idx="3">
                  <c:v>1.1840836022942336</c:v>
                </c:pt>
                <c:pt idx="4">
                  <c:v>1.1706069741971969</c:v>
                </c:pt>
                <c:pt idx="5">
                  <c:v>1.0760306268629976</c:v>
                </c:pt>
                <c:pt idx="6">
                  <c:v>0.90594116584663398</c:v>
                </c:pt>
                <c:pt idx="7">
                  <c:v>0.6949847812338551</c:v>
                </c:pt>
                <c:pt idx="8">
                  <c:v>0.48984590086344704</c:v>
                </c:pt>
              </c:numCache>
            </c:numRef>
          </c:yVal>
          <c:smooth val="1"/>
          <c:extLst>
            <c:ext xmlns:c16="http://schemas.microsoft.com/office/drawing/2014/chart" uri="{C3380CC4-5D6E-409C-BE32-E72D297353CC}">
              <c16:uniqueId val="{00000000-082F-415F-843D-18F4A5B142C5}"/>
            </c:ext>
          </c:extLst>
        </c:ser>
        <c:ser>
          <c:idx val="1"/>
          <c:order val="1"/>
          <c:tx>
            <c:strRef>
              <c:f>'VS&amp;RT'!$D$39</c:f>
              <c:strCache>
                <c:ptCount val="1"/>
                <c:pt idx="0">
                  <c:v>11.9</c:v>
                </c:pt>
              </c:strCache>
            </c:strRef>
          </c:tx>
          <c:spPr>
            <a:ln w="12700">
              <a:solidFill>
                <a:srgbClr val="000080"/>
              </a:solidFill>
              <a:prstDash val="solid"/>
            </a:ln>
          </c:spPr>
          <c:marker>
            <c:symbol val="circle"/>
            <c:size val="5"/>
            <c:spPr>
              <a:solidFill>
                <a:srgbClr val="000080"/>
              </a:solidFill>
              <a:ln>
                <a:solidFill>
                  <a:srgbClr val="000080"/>
                </a:solidFill>
                <a:prstDash val="solid"/>
              </a:ln>
            </c:spPr>
          </c:marker>
          <c:xVal>
            <c:numRef>
              <c:f>'VS&amp;RT'!$B$39:$B$47</c:f>
              <c:numCache>
                <c:formatCode>General</c:formatCode>
                <c:ptCount val="9"/>
                <c:pt idx="0">
                  <c:v>32</c:v>
                </c:pt>
                <c:pt idx="1">
                  <c:v>37</c:v>
                </c:pt>
                <c:pt idx="2">
                  <c:v>42</c:v>
                </c:pt>
                <c:pt idx="3">
                  <c:v>47</c:v>
                </c:pt>
                <c:pt idx="4">
                  <c:v>52</c:v>
                </c:pt>
                <c:pt idx="5">
                  <c:v>57</c:v>
                </c:pt>
                <c:pt idx="6">
                  <c:v>62</c:v>
                </c:pt>
                <c:pt idx="7">
                  <c:v>67</c:v>
                </c:pt>
                <c:pt idx="8">
                  <c:v>72</c:v>
                </c:pt>
              </c:numCache>
            </c:numRef>
          </c:xVal>
          <c:yVal>
            <c:numRef>
              <c:f>'VS&amp;RT'!$G$39:$G$47</c:f>
              <c:numCache>
                <c:formatCode>0.000</c:formatCode>
                <c:ptCount val="9"/>
                <c:pt idx="0">
                  <c:v>0.75112859785443087</c:v>
                </c:pt>
                <c:pt idx="1">
                  <c:v>0.86337072998600894</c:v>
                </c:pt>
                <c:pt idx="2">
                  <c:v>0.96970041268516416</c:v>
                </c:pt>
                <c:pt idx="3">
                  <c:v>1.0648193960800347</c:v>
                </c:pt>
                <c:pt idx="4">
                  <c:v>1.1395052523400369</c:v>
                </c:pt>
                <c:pt idx="5">
                  <c:v>1.1792118404598662</c:v>
                </c:pt>
                <c:pt idx="6">
                  <c:v>1.16482854118488</c:v>
                </c:pt>
                <c:pt idx="7">
                  <c:v>1.0794417333320909</c:v>
                </c:pt>
                <c:pt idx="8">
                  <c:v>0.92235979979024485</c:v>
                </c:pt>
              </c:numCache>
            </c:numRef>
          </c:yVal>
          <c:smooth val="1"/>
          <c:extLst>
            <c:ext xmlns:c16="http://schemas.microsoft.com/office/drawing/2014/chart" uri="{C3380CC4-5D6E-409C-BE32-E72D297353CC}">
              <c16:uniqueId val="{00000001-082F-415F-843D-18F4A5B142C5}"/>
            </c:ext>
          </c:extLst>
        </c:ser>
        <c:ser>
          <c:idx val="2"/>
          <c:order val="2"/>
          <c:tx>
            <c:strRef>
              <c:f>'VS&amp;RT'!$D$48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'VS&amp;RT'!$B$48:$B$56</c:f>
              <c:numCache>
                <c:formatCode>General</c:formatCode>
                <c:ptCount val="9"/>
                <c:pt idx="0">
                  <c:v>32</c:v>
                </c:pt>
                <c:pt idx="1">
                  <c:v>37</c:v>
                </c:pt>
                <c:pt idx="2">
                  <c:v>42</c:v>
                </c:pt>
                <c:pt idx="3">
                  <c:v>47</c:v>
                </c:pt>
                <c:pt idx="4">
                  <c:v>52</c:v>
                </c:pt>
                <c:pt idx="5">
                  <c:v>57</c:v>
                </c:pt>
                <c:pt idx="6">
                  <c:v>62</c:v>
                </c:pt>
                <c:pt idx="7">
                  <c:v>67</c:v>
                </c:pt>
                <c:pt idx="8">
                  <c:v>72</c:v>
                </c:pt>
              </c:numCache>
            </c:numRef>
          </c:xVal>
          <c:yVal>
            <c:numRef>
              <c:f>'VS&amp;RT'!$G$48:$G$56</c:f>
              <c:numCache>
                <c:formatCode>0.000</c:formatCode>
                <c:ptCount val="9"/>
                <c:pt idx="0">
                  <c:v>0.4891172419954693</c:v>
                </c:pt>
                <c:pt idx="1">
                  <c:v>0.56362188623971865</c:v>
                </c:pt>
                <c:pt idx="2">
                  <c:v>0.63588294887155372</c:v>
                </c:pt>
                <c:pt idx="3">
                  <c:v>0.70381618946074853</c:v>
                </c:pt>
                <c:pt idx="4">
                  <c:v>0.76361625668406641</c:v>
                </c:pt>
                <c:pt idx="5">
                  <c:v>0.80872791826025814</c:v>
                </c:pt>
                <c:pt idx="6">
                  <c:v>0.82895920761735598</c:v>
                </c:pt>
                <c:pt idx="7">
                  <c:v>0.81123631902312932</c:v>
                </c:pt>
                <c:pt idx="8">
                  <c:v>0.74463525569636935</c:v>
                </c:pt>
              </c:numCache>
            </c:numRef>
          </c:yVal>
          <c:smooth val="1"/>
          <c:extLst>
            <c:ext xmlns:c16="http://schemas.microsoft.com/office/drawing/2014/chart" uri="{C3380CC4-5D6E-409C-BE32-E72D297353CC}">
              <c16:uniqueId val="{00000002-082F-415F-843D-18F4A5B142C5}"/>
            </c:ext>
          </c:extLst>
        </c:ser>
        <c:dLbls>
          <c:showLegendKey val="0"/>
          <c:showVal val="0"/>
          <c:showCatName val="0"/>
          <c:showSerName val="0"/>
          <c:showPercent val="0"/>
          <c:showBubbleSize val="0"/>
        </c:dLbls>
        <c:axId val="51233536"/>
        <c:axId val="51235840"/>
      </c:scatterChart>
      <c:scatterChart>
        <c:scatterStyle val="lineMarker"/>
        <c:varyColors val="0"/>
        <c:ser>
          <c:idx val="0"/>
          <c:order val="3"/>
          <c:tx>
            <c:strRef>
              <c:f>'VS&amp;RT'!$D$30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'VS&amp;RT'!$B$30:$B$38</c:f>
              <c:numCache>
                <c:formatCode>General</c:formatCode>
                <c:ptCount val="9"/>
                <c:pt idx="0">
                  <c:v>32</c:v>
                </c:pt>
                <c:pt idx="1">
                  <c:v>37</c:v>
                </c:pt>
                <c:pt idx="2">
                  <c:v>42</c:v>
                </c:pt>
                <c:pt idx="3">
                  <c:v>47</c:v>
                </c:pt>
                <c:pt idx="4" formatCode="0.0">
                  <c:v>52</c:v>
                </c:pt>
                <c:pt idx="5">
                  <c:v>57</c:v>
                </c:pt>
                <c:pt idx="6">
                  <c:v>62</c:v>
                </c:pt>
                <c:pt idx="7">
                  <c:v>67</c:v>
                </c:pt>
                <c:pt idx="8">
                  <c:v>72</c:v>
                </c:pt>
              </c:numCache>
            </c:numRef>
          </c:xVal>
          <c:yVal>
            <c:numRef>
              <c:f>'VS&amp;RT'!$H$30:$H$38</c:f>
              <c:numCache>
                <c:formatCode>0.0</c:formatCode>
                <c:ptCount val="9"/>
                <c:pt idx="0">
                  <c:v>3.5827395118641006</c:v>
                </c:pt>
                <c:pt idx="1">
                  <c:v>4.0496124040476911</c:v>
                </c:pt>
                <c:pt idx="2">
                  <c:v>4.4176322647578816</c:v>
                </c:pt>
                <c:pt idx="3">
                  <c:v>4.6179260489475116</c:v>
                </c:pt>
                <c:pt idx="4">
                  <c:v>4.5653671993690681</c:v>
                </c:pt>
                <c:pt idx="5">
                  <c:v>4.1965194447656913</c:v>
                </c:pt>
                <c:pt idx="6">
                  <c:v>3.5331705468018728</c:v>
                </c:pt>
                <c:pt idx="7">
                  <c:v>2.7104406468120352</c:v>
                </c:pt>
                <c:pt idx="8">
                  <c:v>1.9103990133674436</c:v>
                </c:pt>
              </c:numCache>
            </c:numRef>
          </c:yVal>
          <c:smooth val="1"/>
          <c:extLst>
            <c:ext xmlns:c16="http://schemas.microsoft.com/office/drawing/2014/chart" uri="{C3380CC4-5D6E-409C-BE32-E72D297353CC}">
              <c16:uniqueId val="{00000003-082F-415F-843D-18F4A5B142C5}"/>
            </c:ext>
          </c:extLst>
        </c:ser>
        <c:ser>
          <c:idx val="5"/>
          <c:order val="4"/>
          <c:tx>
            <c:strRef>
              <c:f>'VS&amp;RT'!$D$39</c:f>
              <c:strCache>
                <c:ptCount val="1"/>
                <c:pt idx="0">
                  <c:v>11.9</c:v>
                </c:pt>
              </c:strCache>
            </c:strRef>
          </c:tx>
          <c:spPr>
            <a:ln w="12700">
              <a:solidFill>
                <a:srgbClr val="000080"/>
              </a:solidFill>
              <a:prstDash val="sysDash"/>
            </a:ln>
          </c:spPr>
          <c:marker>
            <c:symbol val="star"/>
            <c:size val="5"/>
            <c:spPr>
              <a:noFill/>
              <a:ln>
                <a:solidFill>
                  <a:srgbClr val="000080"/>
                </a:solidFill>
                <a:prstDash val="solid"/>
              </a:ln>
            </c:spPr>
          </c:marker>
          <c:xVal>
            <c:numRef>
              <c:f>'VS&amp;RT'!$B$30:$B$38</c:f>
              <c:numCache>
                <c:formatCode>General</c:formatCode>
                <c:ptCount val="9"/>
                <c:pt idx="0">
                  <c:v>32</c:v>
                </c:pt>
                <c:pt idx="1">
                  <c:v>37</c:v>
                </c:pt>
                <c:pt idx="2">
                  <c:v>42</c:v>
                </c:pt>
                <c:pt idx="3">
                  <c:v>47</c:v>
                </c:pt>
                <c:pt idx="4" formatCode="0.0">
                  <c:v>52</c:v>
                </c:pt>
                <c:pt idx="5">
                  <c:v>57</c:v>
                </c:pt>
                <c:pt idx="6">
                  <c:v>62</c:v>
                </c:pt>
                <c:pt idx="7">
                  <c:v>67</c:v>
                </c:pt>
                <c:pt idx="8">
                  <c:v>72</c:v>
                </c:pt>
              </c:numCache>
            </c:numRef>
          </c:xVal>
          <c:yVal>
            <c:numRef>
              <c:f>'VS&amp;RT'!$H$39:$H$47</c:f>
              <c:numCache>
                <c:formatCode>0.0</c:formatCode>
                <c:ptCount val="9"/>
                <c:pt idx="0">
                  <c:v>8.9384303144677268</c:v>
                </c:pt>
                <c:pt idx="1">
                  <c:v>10.274111686833507</c:v>
                </c:pt>
                <c:pt idx="2">
                  <c:v>11.539434910953453</c:v>
                </c:pt>
                <c:pt idx="3">
                  <c:v>12.671350813352413</c:v>
                </c:pt>
                <c:pt idx="4">
                  <c:v>13.560112502846438</c:v>
                </c:pt>
                <c:pt idx="5">
                  <c:v>14.032620901472407</c:v>
                </c:pt>
                <c:pt idx="6">
                  <c:v>13.861459640100072</c:v>
                </c:pt>
                <c:pt idx="7">
                  <c:v>12.845356626651883</c:v>
                </c:pt>
                <c:pt idx="8">
                  <c:v>10.976081617503914</c:v>
                </c:pt>
              </c:numCache>
            </c:numRef>
          </c:yVal>
          <c:smooth val="1"/>
          <c:extLst>
            <c:ext xmlns:c16="http://schemas.microsoft.com/office/drawing/2014/chart" uri="{C3380CC4-5D6E-409C-BE32-E72D297353CC}">
              <c16:uniqueId val="{00000004-082F-415F-843D-18F4A5B142C5}"/>
            </c:ext>
          </c:extLst>
        </c:ser>
        <c:ser>
          <c:idx val="3"/>
          <c:order val="5"/>
          <c:tx>
            <c:strRef>
              <c:f>'VS&amp;RT'!$D$48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'VS&amp;RT'!$B$30:$B$38</c:f>
              <c:numCache>
                <c:formatCode>General</c:formatCode>
                <c:ptCount val="9"/>
                <c:pt idx="0">
                  <c:v>32</c:v>
                </c:pt>
                <c:pt idx="1">
                  <c:v>37</c:v>
                </c:pt>
                <c:pt idx="2">
                  <c:v>42</c:v>
                </c:pt>
                <c:pt idx="3">
                  <c:v>47</c:v>
                </c:pt>
                <c:pt idx="4" formatCode="0.0">
                  <c:v>52</c:v>
                </c:pt>
                <c:pt idx="5">
                  <c:v>57</c:v>
                </c:pt>
                <c:pt idx="6">
                  <c:v>62</c:v>
                </c:pt>
                <c:pt idx="7">
                  <c:v>67</c:v>
                </c:pt>
                <c:pt idx="8">
                  <c:v>72</c:v>
                </c:pt>
              </c:numCache>
            </c:numRef>
          </c:xVal>
          <c:yVal>
            <c:numRef>
              <c:f>'VS&amp;RT'!$H$48:$H$56</c:f>
              <c:numCache>
                <c:formatCode>0.0</c:formatCode>
                <c:ptCount val="9"/>
                <c:pt idx="0">
                  <c:v>9.7334331157098379</c:v>
                </c:pt>
                <c:pt idx="1">
                  <c:v>11.216075536170401</c:v>
                </c:pt>
                <c:pt idx="2">
                  <c:v>12.654070682543917</c:v>
                </c:pt>
                <c:pt idx="3">
                  <c:v>14.005942170268895</c:v>
                </c:pt>
                <c:pt idx="4">
                  <c:v>15.19596350801292</c:v>
                </c:pt>
                <c:pt idx="5">
                  <c:v>16.093685573379137</c:v>
                </c:pt>
                <c:pt idx="6">
                  <c:v>16.496288231585382</c:v>
                </c:pt>
                <c:pt idx="7">
                  <c:v>16.143602748560273</c:v>
                </c:pt>
                <c:pt idx="8">
                  <c:v>14.818241588357749</c:v>
                </c:pt>
              </c:numCache>
            </c:numRef>
          </c:yVal>
          <c:smooth val="1"/>
          <c:extLst>
            <c:ext xmlns:c16="http://schemas.microsoft.com/office/drawing/2014/chart" uri="{C3380CC4-5D6E-409C-BE32-E72D297353CC}">
              <c16:uniqueId val="{00000005-082F-415F-843D-18F4A5B142C5}"/>
            </c:ext>
          </c:extLst>
        </c:ser>
        <c:dLbls>
          <c:showLegendKey val="0"/>
          <c:showVal val="0"/>
          <c:showCatName val="0"/>
          <c:showSerName val="0"/>
          <c:showPercent val="0"/>
          <c:showBubbleSize val="0"/>
        </c:dLbls>
        <c:axId val="51242112"/>
        <c:axId val="51243648"/>
      </c:scatterChart>
      <c:valAx>
        <c:axId val="51233536"/>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Volatile Solids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a:t>
                </a:r>
              </a:p>
            </c:rich>
          </c:tx>
          <c:layout>
            <c:manualLayout>
              <c:xMode val="edge"/>
              <c:yMode val="edge"/>
              <c:x val="0.35263213150987704"/>
              <c:y val="0.8944281524926686"/>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35840"/>
        <c:crosses val="autoZero"/>
        <c:crossBetween val="midCat"/>
      </c:valAx>
      <c:valAx>
        <c:axId val="51235840"/>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71929824561403E-3"/>
              <c:y val="0.28445747800586513"/>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33536"/>
        <c:crosses val="autoZero"/>
        <c:crossBetween val="midCat"/>
      </c:valAx>
      <c:valAx>
        <c:axId val="51242112"/>
        <c:scaling>
          <c:orientation val="minMax"/>
        </c:scaling>
        <c:delete val="1"/>
        <c:axPos val="b"/>
        <c:numFmt formatCode="General" sourceLinked="1"/>
        <c:majorTickMark val="out"/>
        <c:minorTickMark val="none"/>
        <c:tickLblPos val="nextTo"/>
        <c:crossAx val="51243648"/>
        <c:crosses val="autoZero"/>
        <c:crossBetween val="midCat"/>
      </c:valAx>
      <c:valAx>
        <c:axId val="51243648"/>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81579094718423351"/>
              <c:y val="0.2316715542521994"/>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42112"/>
        <c:crosses val="max"/>
        <c:crossBetween val="midCat"/>
      </c:valAx>
      <c:spPr>
        <a:noFill/>
        <a:ln w="12700">
          <a:solidFill>
            <a:srgbClr val="000000"/>
          </a:solidFill>
          <a:prstDash val="solid"/>
        </a:ln>
      </c:spPr>
    </c:plotArea>
    <c:legend>
      <c:legendPos val="r"/>
      <c:layout>
        <c:manualLayout>
          <c:xMode val="edge"/>
          <c:yMode val="edge"/>
          <c:x val="0.86140498227195283"/>
          <c:y val="0.3284457478005865"/>
          <c:w val="0.12631597366118708"/>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5120982627605442"/>
          <c:y val="0.21183865069682986"/>
          <c:w val="0.53427471950872563"/>
          <c:h val="0.50778970681740054"/>
        </c:manualLayout>
      </c:layout>
      <c:scatterChart>
        <c:scatterStyle val="smoothMarker"/>
        <c:varyColors val="0"/>
        <c:ser>
          <c:idx val="0"/>
          <c:order val="0"/>
          <c:tx>
            <c:strRef>
              <c:f>'VS&amp;RT'!$D$30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'VS&amp;RT'!$B$30:$B$38</c:f>
              <c:numCache>
                <c:formatCode>General</c:formatCode>
                <c:ptCount val="9"/>
                <c:pt idx="0">
                  <c:v>32</c:v>
                </c:pt>
                <c:pt idx="1">
                  <c:v>37</c:v>
                </c:pt>
                <c:pt idx="2">
                  <c:v>42</c:v>
                </c:pt>
                <c:pt idx="3">
                  <c:v>47</c:v>
                </c:pt>
                <c:pt idx="4" formatCode="0.0">
                  <c:v>52</c:v>
                </c:pt>
                <c:pt idx="5">
                  <c:v>57</c:v>
                </c:pt>
                <c:pt idx="6">
                  <c:v>62</c:v>
                </c:pt>
                <c:pt idx="7">
                  <c:v>67</c:v>
                </c:pt>
                <c:pt idx="8">
                  <c:v>72</c:v>
                </c:pt>
              </c:numCache>
            </c:numRef>
          </c:xVal>
          <c:yVal>
            <c:numRef>
              <c:f>'VS&amp;RT'!$I$30:$I$38</c:f>
              <c:numCache>
                <c:formatCode>0.0</c:formatCode>
                <c:ptCount val="9"/>
                <c:pt idx="0">
                  <c:v>24.834520976271797</c:v>
                </c:pt>
                <c:pt idx="1">
                  <c:v>28.900775191904618</c:v>
                </c:pt>
                <c:pt idx="2">
                  <c:v>33.164735470484239</c:v>
                </c:pt>
                <c:pt idx="3">
                  <c:v>37.76414790210498</c:v>
                </c:pt>
                <c:pt idx="4">
                  <c:v>42.869265601261866</c:v>
                </c:pt>
                <c:pt idx="5">
                  <c:v>48.606961110468617</c:v>
                </c:pt>
                <c:pt idx="6">
                  <c:v>54.933658906396253</c:v>
                </c:pt>
                <c:pt idx="7">
                  <c:v>61.57911870637593</c:v>
                </c:pt>
                <c:pt idx="8">
                  <c:v>68.179201973265108</c:v>
                </c:pt>
              </c:numCache>
            </c:numRef>
          </c:yVal>
          <c:smooth val="1"/>
          <c:extLst>
            <c:ext xmlns:c16="http://schemas.microsoft.com/office/drawing/2014/chart" uri="{C3380CC4-5D6E-409C-BE32-E72D297353CC}">
              <c16:uniqueId val="{00000000-BDC8-4FE1-8761-74D23FE94AAB}"/>
            </c:ext>
          </c:extLst>
        </c:ser>
        <c:ser>
          <c:idx val="1"/>
          <c:order val="1"/>
          <c:tx>
            <c:strRef>
              <c:f>'VS&amp;RT'!$D$39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'VS&amp;RT'!$B$39:$B$47</c:f>
              <c:numCache>
                <c:formatCode>General</c:formatCode>
                <c:ptCount val="9"/>
                <c:pt idx="0">
                  <c:v>32</c:v>
                </c:pt>
                <c:pt idx="1">
                  <c:v>37</c:v>
                </c:pt>
                <c:pt idx="2">
                  <c:v>42</c:v>
                </c:pt>
                <c:pt idx="3">
                  <c:v>47</c:v>
                </c:pt>
                <c:pt idx="4">
                  <c:v>52</c:v>
                </c:pt>
                <c:pt idx="5">
                  <c:v>57</c:v>
                </c:pt>
                <c:pt idx="6">
                  <c:v>62</c:v>
                </c:pt>
                <c:pt idx="7">
                  <c:v>67</c:v>
                </c:pt>
                <c:pt idx="8">
                  <c:v>72</c:v>
                </c:pt>
              </c:numCache>
            </c:numRef>
          </c:xVal>
          <c:yVal>
            <c:numRef>
              <c:f>'VS&amp;RT'!$I$39:$I$47</c:f>
              <c:numCache>
                <c:formatCode>0.0</c:formatCode>
                <c:ptCount val="9"/>
                <c:pt idx="0">
                  <c:v>14.123139371064546</c:v>
                </c:pt>
                <c:pt idx="1">
                  <c:v>16.451776626332986</c:v>
                </c:pt>
                <c:pt idx="2">
                  <c:v>18.921130178093094</c:v>
                </c:pt>
                <c:pt idx="3">
                  <c:v>21.657298373295173</c:v>
                </c:pt>
                <c:pt idx="4">
                  <c:v>24.879774994307123</c:v>
                </c:pt>
                <c:pt idx="5">
                  <c:v>28.934758197055185</c:v>
                </c:pt>
                <c:pt idx="6">
                  <c:v>34.277080719799855</c:v>
                </c:pt>
                <c:pt idx="7">
                  <c:v>41.30928674669623</c:v>
                </c:pt>
                <c:pt idx="8">
                  <c:v>50.047836764992169</c:v>
                </c:pt>
              </c:numCache>
            </c:numRef>
          </c:yVal>
          <c:smooth val="1"/>
          <c:extLst>
            <c:ext xmlns:c16="http://schemas.microsoft.com/office/drawing/2014/chart" uri="{C3380CC4-5D6E-409C-BE32-E72D297353CC}">
              <c16:uniqueId val="{00000001-BDC8-4FE1-8761-74D23FE94AAB}"/>
            </c:ext>
          </c:extLst>
        </c:ser>
        <c:ser>
          <c:idx val="2"/>
          <c:order val="2"/>
          <c:tx>
            <c:strRef>
              <c:f>'VS&amp;RT'!$D$48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'VS&amp;RT'!$B$48:$B$56</c:f>
              <c:numCache>
                <c:formatCode>General</c:formatCode>
                <c:ptCount val="9"/>
                <c:pt idx="0">
                  <c:v>32</c:v>
                </c:pt>
                <c:pt idx="1">
                  <c:v>37</c:v>
                </c:pt>
                <c:pt idx="2">
                  <c:v>42</c:v>
                </c:pt>
                <c:pt idx="3">
                  <c:v>47</c:v>
                </c:pt>
                <c:pt idx="4">
                  <c:v>52</c:v>
                </c:pt>
                <c:pt idx="5">
                  <c:v>57</c:v>
                </c:pt>
                <c:pt idx="6">
                  <c:v>62</c:v>
                </c:pt>
                <c:pt idx="7">
                  <c:v>67</c:v>
                </c:pt>
                <c:pt idx="8">
                  <c:v>72</c:v>
                </c:pt>
              </c:numCache>
            </c:numRef>
          </c:xVal>
          <c:yVal>
            <c:numRef>
              <c:f>'VS&amp;RT'!$I$48:$I$56</c:f>
              <c:numCache>
                <c:formatCode>0.0</c:formatCode>
                <c:ptCount val="9"/>
                <c:pt idx="0">
                  <c:v>12.533133768580324</c:v>
                </c:pt>
                <c:pt idx="1">
                  <c:v>14.567848927659199</c:v>
                </c:pt>
                <c:pt idx="2">
                  <c:v>16.691858634912165</c:v>
                </c:pt>
                <c:pt idx="3">
                  <c:v>18.98811565946221</c:v>
                </c:pt>
                <c:pt idx="4">
                  <c:v>21.608072983974161</c:v>
                </c:pt>
                <c:pt idx="5">
                  <c:v>24.812628853241726</c:v>
                </c:pt>
                <c:pt idx="6">
                  <c:v>29.007423536829236</c:v>
                </c:pt>
                <c:pt idx="7">
                  <c:v>34.712794502879454</c:v>
                </c:pt>
                <c:pt idx="8">
                  <c:v>42.363516823284499</c:v>
                </c:pt>
              </c:numCache>
            </c:numRef>
          </c:yVal>
          <c:smooth val="1"/>
          <c:extLst>
            <c:ext xmlns:c16="http://schemas.microsoft.com/office/drawing/2014/chart" uri="{C3380CC4-5D6E-409C-BE32-E72D297353CC}">
              <c16:uniqueId val="{00000002-BDC8-4FE1-8761-74D23FE94AAB}"/>
            </c:ext>
          </c:extLst>
        </c:ser>
        <c:dLbls>
          <c:showLegendKey val="0"/>
          <c:showVal val="0"/>
          <c:showCatName val="0"/>
          <c:showSerName val="0"/>
          <c:showPercent val="0"/>
          <c:showBubbleSize val="0"/>
        </c:dLbls>
        <c:axId val="51297664"/>
        <c:axId val="51316608"/>
      </c:scatterChart>
      <c:scatterChart>
        <c:scatterStyle val="lineMarker"/>
        <c:varyColors val="0"/>
        <c:ser>
          <c:idx val="3"/>
          <c:order val="3"/>
          <c:tx>
            <c:strRef>
              <c:f>'VS&amp;RT'!$D$30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'VS&amp;RT'!$B$30:$B$38</c:f>
              <c:numCache>
                <c:formatCode>General</c:formatCode>
                <c:ptCount val="9"/>
                <c:pt idx="0">
                  <c:v>32</c:v>
                </c:pt>
                <c:pt idx="1">
                  <c:v>37</c:v>
                </c:pt>
                <c:pt idx="2">
                  <c:v>42</c:v>
                </c:pt>
                <c:pt idx="3">
                  <c:v>47</c:v>
                </c:pt>
                <c:pt idx="4" formatCode="0.0">
                  <c:v>52</c:v>
                </c:pt>
                <c:pt idx="5">
                  <c:v>57</c:v>
                </c:pt>
                <c:pt idx="6">
                  <c:v>62</c:v>
                </c:pt>
                <c:pt idx="7">
                  <c:v>67</c:v>
                </c:pt>
                <c:pt idx="8">
                  <c:v>72</c:v>
                </c:pt>
              </c:numCache>
            </c:numRef>
          </c:xVal>
          <c:yVal>
            <c:numRef>
              <c:f>'VS&amp;RT'!$J$30:$J$38</c:f>
              <c:numCache>
                <c:formatCode>0%</c:formatCode>
                <c:ptCount val="9"/>
                <c:pt idx="0">
                  <c:v>0.22392121949150634</c:v>
                </c:pt>
                <c:pt idx="1">
                  <c:v>0.21889796778636167</c:v>
                </c:pt>
                <c:pt idx="2">
                  <c:v>0.2103634411789467</c:v>
                </c:pt>
                <c:pt idx="3">
                  <c:v>0.19650749144457488</c:v>
                </c:pt>
                <c:pt idx="4">
                  <c:v>0.17559104612957951</c:v>
                </c:pt>
                <c:pt idx="5">
                  <c:v>0.14724629630756811</c:v>
                </c:pt>
                <c:pt idx="6">
                  <c:v>0.11397324344522172</c:v>
                </c:pt>
                <c:pt idx="7">
                  <c:v>8.0908676024239859E-2</c:v>
                </c:pt>
                <c:pt idx="8">
                  <c:v>5.3066639260206827E-2</c:v>
                </c:pt>
              </c:numCache>
            </c:numRef>
          </c:yVal>
          <c:smooth val="1"/>
          <c:extLst>
            <c:ext xmlns:c16="http://schemas.microsoft.com/office/drawing/2014/chart" uri="{C3380CC4-5D6E-409C-BE32-E72D297353CC}">
              <c16:uniqueId val="{00000003-BDC8-4FE1-8761-74D23FE94AAB}"/>
            </c:ext>
          </c:extLst>
        </c:ser>
        <c:ser>
          <c:idx val="4"/>
          <c:order val="4"/>
          <c:tx>
            <c:strRef>
              <c:f>'VS&amp;RT'!$D$39</c:f>
              <c:strCache>
                <c:ptCount val="1"/>
                <c:pt idx="0">
                  <c:v>11.9</c:v>
                </c:pt>
              </c:strCache>
            </c:strRef>
          </c:tx>
          <c:spPr>
            <a:ln w="12700">
              <a:solidFill>
                <a:srgbClr val="000080"/>
              </a:solidFill>
              <a:prstDash val="sysDash"/>
            </a:ln>
          </c:spPr>
          <c:marker>
            <c:symbol val="x"/>
            <c:size val="5"/>
            <c:spPr>
              <a:noFill/>
              <a:ln>
                <a:solidFill>
                  <a:srgbClr val="000080"/>
                </a:solidFill>
                <a:prstDash val="solid"/>
              </a:ln>
            </c:spPr>
          </c:marker>
          <c:xVal>
            <c:numRef>
              <c:f>'VS&amp;RT'!$B$39:$B$47</c:f>
              <c:numCache>
                <c:formatCode>General</c:formatCode>
                <c:ptCount val="9"/>
                <c:pt idx="0">
                  <c:v>32</c:v>
                </c:pt>
                <c:pt idx="1">
                  <c:v>37</c:v>
                </c:pt>
                <c:pt idx="2">
                  <c:v>42</c:v>
                </c:pt>
                <c:pt idx="3">
                  <c:v>47</c:v>
                </c:pt>
                <c:pt idx="4">
                  <c:v>52</c:v>
                </c:pt>
                <c:pt idx="5">
                  <c:v>57</c:v>
                </c:pt>
                <c:pt idx="6">
                  <c:v>62</c:v>
                </c:pt>
                <c:pt idx="7">
                  <c:v>67</c:v>
                </c:pt>
                <c:pt idx="8">
                  <c:v>72</c:v>
                </c:pt>
              </c:numCache>
            </c:numRef>
          </c:xVal>
          <c:yVal>
            <c:numRef>
              <c:f>'VS&amp;RT'!$J$39:$J$47</c:f>
              <c:numCache>
                <c:formatCode>0%</c:formatCode>
                <c:ptCount val="9"/>
                <c:pt idx="0">
                  <c:v>0.55865189465423293</c:v>
                </c:pt>
                <c:pt idx="1">
                  <c:v>0.55535738847748684</c:v>
                </c:pt>
                <c:pt idx="2">
                  <c:v>0.54949690052159306</c:v>
                </c:pt>
                <c:pt idx="3">
                  <c:v>0.53920641758946442</c:v>
                </c:pt>
                <c:pt idx="4">
                  <c:v>0.52154278857101688</c:v>
                </c:pt>
                <c:pt idx="5">
                  <c:v>0.49237266320955814</c:v>
                </c:pt>
                <c:pt idx="6">
                  <c:v>0.44714385935806683</c:v>
                </c:pt>
                <c:pt idx="7">
                  <c:v>0.3834434813925936</c:v>
                </c:pt>
                <c:pt idx="8">
                  <c:v>0.30489115604177541</c:v>
                </c:pt>
              </c:numCache>
            </c:numRef>
          </c:yVal>
          <c:smooth val="1"/>
          <c:extLst>
            <c:ext xmlns:c16="http://schemas.microsoft.com/office/drawing/2014/chart" uri="{C3380CC4-5D6E-409C-BE32-E72D297353CC}">
              <c16:uniqueId val="{00000004-BDC8-4FE1-8761-74D23FE94AAB}"/>
            </c:ext>
          </c:extLst>
        </c:ser>
        <c:ser>
          <c:idx val="5"/>
          <c:order val="5"/>
          <c:tx>
            <c:strRef>
              <c:f>'VS&amp;RT'!$D$48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'VS&amp;RT'!$B$48:$B$56</c:f>
              <c:numCache>
                <c:formatCode>General</c:formatCode>
                <c:ptCount val="9"/>
                <c:pt idx="0">
                  <c:v>32</c:v>
                </c:pt>
                <c:pt idx="1">
                  <c:v>37</c:v>
                </c:pt>
                <c:pt idx="2">
                  <c:v>42</c:v>
                </c:pt>
                <c:pt idx="3">
                  <c:v>47</c:v>
                </c:pt>
                <c:pt idx="4">
                  <c:v>52</c:v>
                </c:pt>
                <c:pt idx="5">
                  <c:v>57</c:v>
                </c:pt>
                <c:pt idx="6">
                  <c:v>62</c:v>
                </c:pt>
                <c:pt idx="7">
                  <c:v>67</c:v>
                </c:pt>
                <c:pt idx="8">
                  <c:v>72</c:v>
                </c:pt>
              </c:numCache>
            </c:numRef>
          </c:xVal>
          <c:yVal>
            <c:numRef>
              <c:f>'VS&amp;RT'!$J$48:$J$56</c:f>
              <c:numCache>
                <c:formatCode>0%</c:formatCode>
                <c:ptCount val="9"/>
                <c:pt idx="0">
                  <c:v>0.60833956973186487</c:v>
                </c:pt>
                <c:pt idx="1">
                  <c:v>0.60627435330650814</c:v>
                </c:pt>
                <c:pt idx="2">
                  <c:v>0.60257479440685324</c:v>
                </c:pt>
                <c:pt idx="3">
                  <c:v>0.59599753916037856</c:v>
                </c:pt>
                <c:pt idx="4">
                  <c:v>0.58446013492357385</c:v>
                </c:pt>
                <c:pt idx="5">
                  <c:v>0.56469072187295222</c:v>
                </c:pt>
                <c:pt idx="6">
                  <c:v>0.53213833005114131</c:v>
                </c:pt>
                <c:pt idx="7">
                  <c:v>0.4818985895092619</c:v>
                </c:pt>
                <c:pt idx="8">
                  <c:v>0.4116178218988264</c:v>
                </c:pt>
              </c:numCache>
            </c:numRef>
          </c:yVal>
          <c:smooth val="1"/>
          <c:extLst>
            <c:ext xmlns:c16="http://schemas.microsoft.com/office/drawing/2014/chart" uri="{C3380CC4-5D6E-409C-BE32-E72D297353CC}">
              <c16:uniqueId val="{00000005-BDC8-4FE1-8761-74D23FE94AAB}"/>
            </c:ext>
          </c:extLst>
        </c:ser>
        <c:dLbls>
          <c:showLegendKey val="0"/>
          <c:showVal val="0"/>
          <c:showCatName val="0"/>
          <c:showSerName val="0"/>
          <c:showPercent val="0"/>
          <c:showBubbleSize val="0"/>
        </c:dLbls>
        <c:axId val="51326976"/>
        <c:axId val="51328512"/>
      </c:scatterChart>
      <c:valAx>
        <c:axId val="51297664"/>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Volatile Solids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a:t>
                </a:r>
              </a:p>
            </c:rich>
          </c:tx>
          <c:layout>
            <c:manualLayout>
              <c:xMode val="edge"/>
              <c:yMode val="edge"/>
              <c:x val="0.31923097112860893"/>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316608"/>
        <c:crosses val="autoZero"/>
        <c:crossBetween val="midCat"/>
      </c:valAx>
      <c:valAx>
        <c:axId val="5131660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97664"/>
        <c:crosses val="autoZero"/>
        <c:crossBetween val="midCat"/>
      </c:valAx>
      <c:valAx>
        <c:axId val="51326976"/>
        <c:scaling>
          <c:orientation val="minMax"/>
        </c:scaling>
        <c:delete val="1"/>
        <c:axPos val="b"/>
        <c:numFmt formatCode="General" sourceLinked="1"/>
        <c:majorTickMark val="out"/>
        <c:minorTickMark val="none"/>
        <c:tickLblPos val="nextTo"/>
        <c:crossAx val="51328512"/>
        <c:crosses val="autoZero"/>
        <c:crossBetween val="midCat"/>
      </c:valAx>
      <c:valAx>
        <c:axId val="51328512"/>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326976"/>
        <c:crosses val="max"/>
        <c:crossBetween val="midCat"/>
      </c:valAx>
      <c:spPr>
        <a:noFill/>
        <a:ln w="12700">
          <a:solidFill>
            <a:srgbClr val="000000"/>
          </a:solidFill>
          <a:prstDash val="solid"/>
        </a:ln>
      </c:spPr>
    </c:plotArea>
    <c:legend>
      <c:legendPos val="r"/>
      <c:layout>
        <c:manualLayout>
          <c:xMode val="edge"/>
          <c:yMode val="edge"/>
          <c:x val="0.84807773066828185"/>
          <c:y val="0.32258064516129031"/>
          <c:w val="0.13846174035937819"/>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139689345114582"/>
          <c:y val="3.5294117647058823E-2"/>
        </c:manualLayout>
      </c:layout>
      <c:overlay val="0"/>
      <c:spPr>
        <a:noFill/>
        <a:ln w="25400">
          <a:noFill/>
        </a:ln>
      </c:spPr>
    </c:title>
    <c:autoTitleDeleted val="0"/>
    <c:plotArea>
      <c:layout>
        <c:manualLayout>
          <c:layoutTarget val="inner"/>
          <c:xMode val="edge"/>
          <c:yMode val="edge"/>
          <c:x val="0.15018341879760974"/>
          <c:y val="0.20937500000000001"/>
          <c:w val="0.56959808836654424"/>
          <c:h val="0.51562500000000078"/>
        </c:manualLayout>
      </c:layout>
      <c:scatterChart>
        <c:scatterStyle val="lineMarker"/>
        <c:varyColors val="0"/>
        <c:ser>
          <c:idx val="3"/>
          <c:order val="0"/>
          <c:tx>
            <c:strRef>
              <c:f>'Temp&amp;VS'!$B$30</c:f>
              <c:strCache>
                <c:ptCount val="1"/>
                <c:pt idx="0">
                  <c:v>32</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'Temp&amp;VS'!$G$30:$G$38</c:f>
              <c:numCache>
                <c:formatCode>0.000</c:formatCode>
                <c:ptCount val="9"/>
                <c:pt idx="0">
                  <c:v>0</c:v>
                </c:pt>
                <c:pt idx="1">
                  <c:v>0.12932069180443378</c:v>
                </c:pt>
                <c:pt idx="2">
                  <c:v>0.50519185685086476</c:v>
                </c:pt>
                <c:pt idx="3">
                  <c:v>0.6712061133360091</c:v>
                </c:pt>
                <c:pt idx="4">
                  <c:v>0.75112859785443087</c:v>
                </c:pt>
                <c:pt idx="5">
                  <c:v>0.78925280274036946</c:v>
                </c:pt>
                <c:pt idx="6">
                  <c:v>0.80642207844678349</c:v>
                </c:pt>
                <c:pt idx="7">
                  <c:v>0.81369468910840748</c:v>
                </c:pt>
                <c:pt idx="8">
                  <c:v>0.81665297547616489</c:v>
                </c:pt>
              </c:numCache>
            </c:numRef>
          </c:yVal>
          <c:smooth val="1"/>
          <c:extLst>
            <c:ext xmlns:c16="http://schemas.microsoft.com/office/drawing/2014/chart" uri="{C3380CC4-5D6E-409C-BE32-E72D297353CC}">
              <c16:uniqueId val="{00000000-3CBF-4616-9BE3-88C2079BF711}"/>
            </c:ext>
          </c:extLst>
        </c:ser>
        <c:ser>
          <c:idx val="0"/>
          <c:order val="1"/>
          <c:tx>
            <c:strRef>
              <c:f>'Temp&amp;VS'!$B$39</c:f>
              <c:strCache>
                <c:ptCount val="1"/>
                <c:pt idx="0">
                  <c:v>52</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'Temp&amp;VS'!$G$39:$G$47</c:f>
              <c:numCache>
                <c:formatCode>0.000</c:formatCode>
                <c:ptCount val="9"/>
                <c:pt idx="0">
                  <c:v>0</c:v>
                </c:pt>
                <c:pt idx="1">
                  <c:v>0.15530404884023205</c:v>
                </c:pt>
                <c:pt idx="2">
                  <c:v>0.6941333116099313</c:v>
                </c:pt>
                <c:pt idx="3">
                  <c:v>0.98493265563198262</c:v>
                </c:pt>
                <c:pt idx="4">
                  <c:v>1.1395052523400369</c:v>
                </c:pt>
                <c:pt idx="5">
                  <c:v>1.2169839678869943</c:v>
                </c:pt>
                <c:pt idx="6">
                  <c:v>1.2527129560824137</c:v>
                </c:pt>
                <c:pt idx="7">
                  <c:v>1.2680080050222777</c:v>
                </c:pt>
                <c:pt idx="8">
                  <c:v>1.2742573020559047</c:v>
                </c:pt>
              </c:numCache>
            </c:numRef>
          </c:yVal>
          <c:smooth val="1"/>
          <c:extLst>
            <c:ext xmlns:c16="http://schemas.microsoft.com/office/drawing/2014/chart" uri="{C3380CC4-5D6E-409C-BE32-E72D297353CC}">
              <c16:uniqueId val="{00000001-3CBF-4616-9BE3-88C2079BF711}"/>
            </c:ext>
          </c:extLst>
        </c:ser>
        <c:ser>
          <c:idx val="1"/>
          <c:order val="2"/>
          <c:tx>
            <c:strRef>
              <c:f>'Temp&amp;VS'!$B$48</c:f>
              <c:strCache>
                <c:ptCount val="1"/>
                <c:pt idx="0">
                  <c:v>72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'Temp&amp;VS'!$G$48:$G$56</c:f>
              <c:numCache>
                <c:formatCode>0.000</c:formatCode>
                <c:ptCount val="9"/>
                <c:pt idx="0">
                  <c:v>0</c:v>
                </c:pt>
                <c:pt idx="1">
                  <c:v>5.671223086034681E-2</c:v>
                </c:pt>
                <c:pt idx="2">
                  <c:v>0.36236222211532065</c:v>
                </c:pt>
                <c:pt idx="3">
                  <c:v>0.66934781866885262</c:v>
                </c:pt>
                <c:pt idx="4">
                  <c:v>0.92235979979024485</c:v>
                </c:pt>
                <c:pt idx="5">
                  <c:v>1.0894123538431488</c:v>
                </c:pt>
                <c:pt idx="6">
                  <c:v>1.1789824770104207</c:v>
                </c:pt>
                <c:pt idx="7">
                  <c:v>1.2202012791466967</c:v>
                </c:pt>
                <c:pt idx="8">
                  <c:v>1.2375807397279628</c:v>
                </c:pt>
              </c:numCache>
            </c:numRef>
          </c:yVal>
          <c:smooth val="1"/>
          <c:extLst>
            <c:ext xmlns:c16="http://schemas.microsoft.com/office/drawing/2014/chart" uri="{C3380CC4-5D6E-409C-BE32-E72D297353CC}">
              <c16:uniqueId val="{00000002-3CBF-4616-9BE3-88C2079BF711}"/>
            </c:ext>
          </c:extLst>
        </c:ser>
        <c:dLbls>
          <c:showLegendKey val="0"/>
          <c:showVal val="0"/>
          <c:showCatName val="0"/>
          <c:showSerName val="0"/>
          <c:showPercent val="0"/>
          <c:showBubbleSize val="0"/>
        </c:dLbls>
        <c:axId val="51108480"/>
        <c:axId val="51115136"/>
      </c:scatterChart>
      <c:scatterChart>
        <c:scatterStyle val="lineMarker"/>
        <c:varyColors val="0"/>
        <c:ser>
          <c:idx val="2"/>
          <c:order val="3"/>
          <c:tx>
            <c:strRef>
              <c:f>'Temp&amp;VS'!$B$30</c:f>
              <c:strCache>
                <c:ptCount val="1"/>
                <c:pt idx="0">
                  <c:v>32</c:v>
                </c:pt>
              </c:strCache>
            </c:strRef>
          </c:tx>
          <c:spPr>
            <a:ln w="12700">
              <a:solidFill>
                <a:srgbClr val="FF0000"/>
              </a:solidFill>
              <a:prstDash val="sysDash"/>
            </a:ln>
          </c:spPr>
          <c:marker>
            <c:symbol val="plus"/>
            <c:size val="5"/>
            <c:spPr>
              <a:no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'Temp&amp;VS'!$H$30:$H$38</c:f>
              <c:numCache>
                <c:formatCode>0.0</c:formatCode>
                <c:ptCount val="9"/>
                <c:pt idx="0">
                  <c:v>0</c:v>
                </c:pt>
                <c:pt idx="1">
                  <c:v>1.5389162324727621</c:v>
                </c:pt>
                <c:pt idx="2">
                  <c:v>6.0117830965252912</c:v>
                </c:pt>
                <c:pt idx="3">
                  <c:v>7.987352748698509</c:v>
                </c:pt>
                <c:pt idx="4">
                  <c:v>8.9384303144677268</c:v>
                </c:pt>
                <c:pt idx="5">
                  <c:v>9.3921083526103963</c:v>
                </c:pt>
                <c:pt idx="6">
                  <c:v>9.5964227335167234</c:v>
                </c:pt>
                <c:pt idx="7">
                  <c:v>9.6829668003900498</c:v>
                </c:pt>
                <c:pt idx="8">
                  <c:v>9.7181704081663618</c:v>
                </c:pt>
              </c:numCache>
            </c:numRef>
          </c:yVal>
          <c:smooth val="0"/>
          <c:extLst>
            <c:ext xmlns:c16="http://schemas.microsoft.com/office/drawing/2014/chart" uri="{C3380CC4-5D6E-409C-BE32-E72D297353CC}">
              <c16:uniqueId val="{00000003-3CBF-4616-9BE3-88C2079BF711}"/>
            </c:ext>
          </c:extLst>
        </c:ser>
        <c:ser>
          <c:idx val="4"/>
          <c:order val="4"/>
          <c:tx>
            <c:strRef>
              <c:f>'Temp&amp;VS'!$B$39</c:f>
              <c:strCache>
                <c:ptCount val="1"/>
                <c:pt idx="0">
                  <c:v>52</c:v>
                </c:pt>
              </c:strCache>
            </c:strRef>
          </c:tx>
          <c:spPr>
            <a:ln w="12700">
              <a:solidFill>
                <a:srgbClr val="000080"/>
              </a:solidFill>
              <a:prstDash val="sysDash"/>
            </a:ln>
          </c:spPr>
          <c:marker>
            <c:symbol val="star"/>
            <c:size val="5"/>
            <c:spPr>
              <a:noFill/>
              <a:ln>
                <a:solidFill>
                  <a:srgbClr val="00008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'Temp&amp;VS'!$H$39:$H$47</c:f>
              <c:numCache>
                <c:formatCode>0.0</c:formatCode>
                <c:ptCount val="9"/>
                <c:pt idx="0">
                  <c:v>0</c:v>
                </c:pt>
                <c:pt idx="1">
                  <c:v>1.8481181811987615</c:v>
                </c:pt>
                <c:pt idx="2">
                  <c:v>8.2601864081581819</c:v>
                </c:pt>
                <c:pt idx="3">
                  <c:v>11.720698602020594</c:v>
                </c:pt>
                <c:pt idx="4">
                  <c:v>13.560112502846438</c:v>
                </c:pt>
                <c:pt idx="5">
                  <c:v>14.482109217855232</c:v>
                </c:pt>
                <c:pt idx="6">
                  <c:v>14.907284177380724</c:v>
                </c:pt>
                <c:pt idx="7">
                  <c:v>15.089295259765105</c:v>
                </c:pt>
                <c:pt idx="8">
                  <c:v>15.163661894465266</c:v>
                </c:pt>
              </c:numCache>
            </c:numRef>
          </c:yVal>
          <c:smooth val="0"/>
          <c:extLst>
            <c:ext xmlns:c16="http://schemas.microsoft.com/office/drawing/2014/chart" uri="{C3380CC4-5D6E-409C-BE32-E72D297353CC}">
              <c16:uniqueId val="{00000004-3CBF-4616-9BE3-88C2079BF711}"/>
            </c:ext>
          </c:extLst>
        </c:ser>
        <c:ser>
          <c:idx val="5"/>
          <c:order val="5"/>
          <c:tx>
            <c:strRef>
              <c:f>'Temp&amp;VS'!$B$48</c:f>
              <c:strCache>
                <c:ptCount val="1"/>
                <c:pt idx="0">
                  <c:v>72</c:v>
                </c:pt>
              </c:strCache>
            </c:strRef>
          </c:tx>
          <c:spPr>
            <a:ln w="12700">
              <a:solidFill>
                <a:srgbClr val="FF00FF"/>
              </a:solidFill>
              <a:prstDash val="sysDash"/>
            </a:ln>
          </c:spPr>
          <c:marker>
            <c:symbol val="circle"/>
            <c:size val="5"/>
            <c:spPr>
              <a:noFill/>
              <a:ln>
                <a:solidFill>
                  <a:srgbClr val="FF00FF"/>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'Temp&amp;VS'!$H$48:$H$56</c:f>
              <c:numCache>
                <c:formatCode>0.0</c:formatCode>
                <c:ptCount val="9"/>
                <c:pt idx="0">
                  <c:v>0</c:v>
                </c:pt>
                <c:pt idx="1">
                  <c:v>0.67487554723812704</c:v>
                </c:pt>
                <c:pt idx="2">
                  <c:v>4.3121104431723163</c:v>
                </c:pt>
                <c:pt idx="3">
                  <c:v>7.9652390421593466</c:v>
                </c:pt>
                <c:pt idx="4">
                  <c:v>10.976081617503914</c:v>
                </c:pt>
                <c:pt idx="5">
                  <c:v>12.964007010733472</c:v>
                </c:pt>
                <c:pt idx="6">
                  <c:v>14.029891476424007</c:v>
                </c:pt>
                <c:pt idx="7">
                  <c:v>14.520395221845691</c:v>
                </c:pt>
                <c:pt idx="8">
                  <c:v>14.727210802762757</c:v>
                </c:pt>
              </c:numCache>
            </c:numRef>
          </c:yVal>
          <c:smooth val="0"/>
          <c:extLst>
            <c:ext xmlns:c16="http://schemas.microsoft.com/office/drawing/2014/chart" uri="{C3380CC4-5D6E-409C-BE32-E72D297353CC}">
              <c16:uniqueId val="{00000005-3CBF-4616-9BE3-88C2079BF711}"/>
            </c:ext>
          </c:extLst>
        </c:ser>
        <c:dLbls>
          <c:showLegendKey val="0"/>
          <c:showVal val="0"/>
          <c:showCatName val="0"/>
          <c:showSerName val="0"/>
          <c:showPercent val="0"/>
          <c:showBubbleSize val="0"/>
        </c:dLbls>
        <c:axId val="51117056"/>
        <c:axId val="51127040"/>
      </c:scatterChart>
      <c:valAx>
        <c:axId val="51108480"/>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Temperature (</a:t>
                </a:r>
                <a:r>
                  <a:rPr lang="en-US" sz="800" b="0" i="0" strike="noStrike" baseline="30000">
                    <a:solidFill>
                      <a:srgbClr val="000000"/>
                    </a:solidFill>
                    <a:latin typeface="Arial"/>
                    <a:cs typeface="Arial"/>
                  </a:rPr>
                  <a:t>O</a:t>
                </a:r>
                <a:r>
                  <a:rPr lang="en-US" sz="800" b="0" i="0" strike="noStrike">
                    <a:solidFill>
                      <a:srgbClr val="000000"/>
                    </a:solidFill>
                    <a:latin typeface="Arial"/>
                    <a:cs typeface="Arial"/>
                  </a:rPr>
                  <a:t>C)</a:t>
                </a:r>
              </a:p>
            </c:rich>
          </c:tx>
          <c:layout>
            <c:manualLayout>
              <c:xMode val="edge"/>
              <c:yMode val="edge"/>
              <c:x val="0.36125709417212898"/>
              <c:y val="0.89411888219854863"/>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15136"/>
        <c:crosses val="autoZero"/>
        <c:crossBetween val="midCat"/>
      </c:valAx>
      <c:valAx>
        <c:axId val="51115136"/>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260034904013961E-3"/>
              <c:y val="0.28235324996140188"/>
            </c:manualLayout>
          </c:layout>
          <c:overlay val="0"/>
          <c:spPr>
            <a:noFill/>
            <a:ln w="25400">
              <a:noFill/>
            </a:ln>
          </c:spPr>
        </c:title>
        <c:numFmt formatCode="0.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08480"/>
        <c:crosses val="autoZero"/>
        <c:crossBetween val="midCat"/>
      </c:valAx>
      <c:valAx>
        <c:axId val="51117056"/>
        <c:scaling>
          <c:orientation val="minMax"/>
        </c:scaling>
        <c:delete val="1"/>
        <c:axPos val="b"/>
        <c:numFmt formatCode="General" sourceLinked="1"/>
        <c:majorTickMark val="out"/>
        <c:minorTickMark val="none"/>
        <c:tickLblPos val="nextTo"/>
        <c:crossAx val="51127040"/>
        <c:crosses val="autoZero"/>
        <c:crossBetween val="midCat"/>
      </c:valAx>
      <c:valAx>
        <c:axId val="5112704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79581280088680018"/>
              <c:y val="0.2323532499614018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17056"/>
        <c:crosses val="max"/>
        <c:crossBetween val="midCat"/>
      </c:valAx>
      <c:spPr>
        <a:noFill/>
        <a:ln w="12700">
          <a:solidFill>
            <a:srgbClr val="000000"/>
          </a:solidFill>
          <a:prstDash val="solid"/>
        </a:ln>
      </c:spPr>
    </c:plotArea>
    <c:legend>
      <c:legendPos val="r"/>
      <c:layout>
        <c:manualLayout>
          <c:xMode val="edge"/>
          <c:yMode val="edge"/>
          <c:x val="0.86038540993894086"/>
          <c:y val="0.32647120580515671"/>
          <c:w val="0.12565463348495054"/>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5120982627605442"/>
          <c:y val="0.21183865069682986"/>
          <c:w val="0.53427471950872563"/>
          <c:h val="0.50778970681740054"/>
        </c:manualLayout>
      </c:layout>
      <c:scatterChart>
        <c:scatterStyle val="smoothMarker"/>
        <c:varyColors val="0"/>
        <c:ser>
          <c:idx val="0"/>
          <c:order val="0"/>
          <c:tx>
            <c:strRef>
              <c:f>'Temp&amp;VS'!$B$30</c:f>
              <c:strCache>
                <c:ptCount val="1"/>
                <c:pt idx="0">
                  <c:v>32</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'Temp&amp;VS'!$I$30:$I$38</c:f>
              <c:numCache>
                <c:formatCode>0.0</c:formatCode>
                <c:ptCount val="9"/>
                <c:pt idx="0">
                  <c:v>32</c:v>
                </c:pt>
                <c:pt idx="1">
                  <c:v>28.922167535054477</c:v>
                </c:pt>
                <c:pt idx="2">
                  <c:v>19.976433806949416</c:v>
                </c:pt>
                <c:pt idx="3">
                  <c:v>16.025294502602982</c:v>
                </c:pt>
                <c:pt idx="4">
                  <c:v>14.123139371064546</c:v>
                </c:pt>
                <c:pt idx="5">
                  <c:v>13.215783294779207</c:v>
                </c:pt>
                <c:pt idx="6">
                  <c:v>12.807154532966553</c:v>
                </c:pt>
                <c:pt idx="7">
                  <c:v>12.6340663992199</c:v>
                </c:pt>
                <c:pt idx="8">
                  <c:v>12.563659183667276</c:v>
                </c:pt>
              </c:numCache>
            </c:numRef>
          </c:yVal>
          <c:smooth val="1"/>
          <c:extLst>
            <c:ext xmlns:c16="http://schemas.microsoft.com/office/drawing/2014/chart" uri="{C3380CC4-5D6E-409C-BE32-E72D297353CC}">
              <c16:uniqueId val="{00000000-01AE-4708-AA17-C9B72ECC5A5A}"/>
            </c:ext>
          </c:extLst>
        </c:ser>
        <c:ser>
          <c:idx val="1"/>
          <c:order val="1"/>
          <c:tx>
            <c:strRef>
              <c:f>'Temp&amp;VS'!$B$39</c:f>
              <c:strCache>
                <c:ptCount val="1"/>
                <c:pt idx="0">
                  <c:v>52</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'Temp&amp;VS'!$C$39:$C$47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'Temp&amp;VS'!$I$39:$I$47</c:f>
              <c:numCache>
                <c:formatCode>0.0</c:formatCode>
                <c:ptCount val="9"/>
                <c:pt idx="0">
                  <c:v>52</c:v>
                </c:pt>
                <c:pt idx="1">
                  <c:v>48.303763637602479</c:v>
                </c:pt>
                <c:pt idx="2">
                  <c:v>35.479627183683633</c:v>
                </c:pt>
                <c:pt idx="3">
                  <c:v>28.558602795958812</c:v>
                </c:pt>
                <c:pt idx="4">
                  <c:v>24.879774994307123</c:v>
                </c:pt>
                <c:pt idx="5">
                  <c:v>23.035781564289536</c:v>
                </c:pt>
                <c:pt idx="6">
                  <c:v>22.185431645238552</c:v>
                </c:pt>
                <c:pt idx="7">
                  <c:v>21.821409480469789</c:v>
                </c:pt>
                <c:pt idx="8">
                  <c:v>21.672676211069469</c:v>
                </c:pt>
              </c:numCache>
            </c:numRef>
          </c:yVal>
          <c:smooth val="1"/>
          <c:extLst>
            <c:ext xmlns:c16="http://schemas.microsoft.com/office/drawing/2014/chart" uri="{C3380CC4-5D6E-409C-BE32-E72D297353CC}">
              <c16:uniqueId val="{00000001-01AE-4708-AA17-C9B72ECC5A5A}"/>
            </c:ext>
          </c:extLst>
        </c:ser>
        <c:ser>
          <c:idx val="2"/>
          <c:order val="2"/>
          <c:tx>
            <c:strRef>
              <c:f>'Temp&amp;VS'!$B$48</c:f>
              <c:strCache>
                <c:ptCount val="1"/>
                <c:pt idx="0">
                  <c:v>72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'Temp&amp;VS'!$C$48:$C$56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'Temp&amp;VS'!$I$48:$I$56</c:f>
              <c:numCache>
                <c:formatCode>0.0</c:formatCode>
                <c:ptCount val="9"/>
                <c:pt idx="0">
                  <c:v>72</c:v>
                </c:pt>
                <c:pt idx="1">
                  <c:v>70.650248905523739</c:v>
                </c:pt>
                <c:pt idx="2">
                  <c:v>63.375779113655369</c:v>
                </c:pt>
                <c:pt idx="3">
                  <c:v>56.069521915681307</c:v>
                </c:pt>
                <c:pt idx="4">
                  <c:v>50.047836764992169</c:v>
                </c:pt>
                <c:pt idx="5">
                  <c:v>46.071985978533057</c:v>
                </c:pt>
                <c:pt idx="6">
                  <c:v>43.94021704715199</c:v>
                </c:pt>
                <c:pt idx="7">
                  <c:v>42.959209556308622</c:v>
                </c:pt>
                <c:pt idx="8">
                  <c:v>42.545578394474489</c:v>
                </c:pt>
              </c:numCache>
            </c:numRef>
          </c:yVal>
          <c:smooth val="1"/>
          <c:extLst>
            <c:ext xmlns:c16="http://schemas.microsoft.com/office/drawing/2014/chart" uri="{C3380CC4-5D6E-409C-BE32-E72D297353CC}">
              <c16:uniqueId val="{00000002-01AE-4708-AA17-C9B72ECC5A5A}"/>
            </c:ext>
          </c:extLst>
        </c:ser>
        <c:dLbls>
          <c:showLegendKey val="0"/>
          <c:showVal val="0"/>
          <c:showCatName val="0"/>
          <c:showSerName val="0"/>
          <c:showPercent val="0"/>
          <c:showBubbleSize val="0"/>
        </c:dLbls>
        <c:axId val="51168768"/>
        <c:axId val="74170368"/>
      </c:scatterChart>
      <c:scatterChart>
        <c:scatterStyle val="lineMarker"/>
        <c:varyColors val="0"/>
        <c:ser>
          <c:idx val="3"/>
          <c:order val="3"/>
          <c:tx>
            <c:strRef>
              <c:f>'Temp&amp;VS'!$B$30</c:f>
              <c:strCache>
                <c:ptCount val="1"/>
                <c:pt idx="0">
                  <c:v>32</c:v>
                </c:pt>
              </c:strCache>
            </c:strRef>
          </c:tx>
          <c:spPr>
            <a:ln w="12700">
              <a:solidFill>
                <a:srgbClr val="FF0000"/>
              </a:solidFill>
              <a:prstDash val="sysDash"/>
            </a:ln>
          </c:spPr>
          <c:marker>
            <c:symbol val="plus"/>
            <c:size val="5"/>
            <c:spPr>
              <a:no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'Temp&amp;VS'!$J$30:$J$38</c:f>
              <c:numCache>
                <c:formatCode>0%</c:formatCode>
                <c:ptCount val="9"/>
                <c:pt idx="0">
                  <c:v>0</c:v>
                </c:pt>
                <c:pt idx="1">
                  <c:v>9.618226452954759E-2</c:v>
                </c:pt>
                <c:pt idx="2">
                  <c:v>0.37573644353283076</c:v>
                </c:pt>
                <c:pt idx="3">
                  <c:v>0.49920954679365681</c:v>
                </c:pt>
                <c:pt idx="4">
                  <c:v>0.55865189465423293</c:v>
                </c:pt>
                <c:pt idx="5">
                  <c:v>0.58700677203814977</c:v>
                </c:pt>
                <c:pt idx="6">
                  <c:v>0.59977642084479521</c:v>
                </c:pt>
                <c:pt idx="7">
                  <c:v>0.60518542502437811</c:v>
                </c:pt>
                <c:pt idx="8">
                  <c:v>0.60738565051039761</c:v>
                </c:pt>
              </c:numCache>
            </c:numRef>
          </c:yVal>
          <c:smooth val="1"/>
          <c:extLst>
            <c:ext xmlns:c16="http://schemas.microsoft.com/office/drawing/2014/chart" uri="{C3380CC4-5D6E-409C-BE32-E72D297353CC}">
              <c16:uniqueId val="{00000003-01AE-4708-AA17-C9B72ECC5A5A}"/>
            </c:ext>
          </c:extLst>
        </c:ser>
        <c:ser>
          <c:idx val="4"/>
          <c:order val="4"/>
          <c:tx>
            <c:strRef>
              <c:f>'Temp&amp;VS'!$B$39</c:f>
              <c:strCache>
                <c:ptCount val="1"/>
                <c:pt idx="0">
                  <c:v>52</c:v>
                </c:pt>
              </c:strCache>
            </c:strRef>
          </c:tx>
          <c:spPr>
            <a:ln w="12700">
              <a:solidFill>
                <a:srgbClr val="000080"/>
              </a:solidFill>
              <a:prstDash val="sysDash"/>
            </a:ln>
          </c:spPr>
          <c:marker>
            <c:symbol val="x"/>
            <c:size val="5"/>
            <c:spPr>
              <a:noFill/>
              <a:ln>
                <a:solidFill>
                  <a:srgbClr val="000080"/>
                </a:solidFill>
                <a:prstDash val="solid"/>
              </a:ln>
            </c:spPr>
          </c:marker>
          <c:xVal>
            <c:numRef>
              <c:f>'Temp&amp;VS'!$C$39:$C$47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'Temp&amp;VS'!$J$39:$J$47</c:f>
              <c:numCache>
                <c:formatCode>0%</c:formatCode>
                <c:ptCount val="9"/>
                <c:pt idx="0">
                  <c:v>0</c:v>
                </c:pt>
                <c:pt idx="1">
                  <c:v>7.108146850764463E-2</c:v>
                </c:pt>
                <c:pt idx="2">
                  <c:v>0.31769947723685321</c:v>
                </c:pt>
                <c:pt idx="3">
                  <c:v>0.45079610007771515</c:v>
                </c:pt>
                <c:pt idx="4">
                  <c:v>0.52154278857101688</c:v>
                </c:pt>
                <c:pt idx="5">
                  <c:v>0.55700420068673973</c:v>
                </c:pt>
                <c:pt idx="6">
                  <c:v>0.5733570837454125</c:v>
                </c:pt>
                <c:pt idx="7">
                  <c:v>0.58035750999096558</c:v>
                </c:pt>
                <c:pt idx="8">
                  <c:v>0.58321776517174095</c:v>
                </c:pt>
              </c:numCache>
            </c:numRef>
          </c:yVal>
          <c:smooth val="1"/>
          <c:extLst>
            <c:ext xmlns:c16="http://schemas.microsoft.com/office/drawing/2014/chart" uri="{C3380CC4-5D6E-409C-BE32-E72D297353CC}">
              <c16:uniqueId val="{00000004-01AE-4708-AA17-C9B72ECC5A5A}"/>
            </c:ext>
          </c:extLst>
        </c:ser>
        <c:ser>
          <c:idx val="5"/>
          <c:order val="5"/>
          <c:tx>
            <c:strRef>
              <c:f>'Temp&amp;VS'!$B$48</c:f>
              <c:strCache>
                <c:ptCount val="1"/>
                <c:pt idx="0">
                  <c:v>72</c:v>
                </c:pt>
              </c:strCache>
            </c:strRef>
          </c:tx>
          <c:spPr>
            <a:ln w="12700">
              <a:solidFill>
                <a:srgbClr val="FF00FF"/>
              </a:solidFill>
              <a:prstDash val="sysDash"/>
            </a:ln>
          </c:spPr>
          <c:marker>
            <c:symbol val="circle"/>
            <c:size val="5"/>
            <c:spPr>
              <a:noFill/>
              <a:ln>
                <a:solidFill>
                  <a:srgbClr val="FF00FF"/>
                </a:solidFill>
                <a:prstDash val="solid"/>
              </a:ln>
            </c:spPr>
          </c:marker>
          <c:xVal>
            <c:numRef>
              <c:f>'Temp&amp;VS'!$C$48:$C$56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'Temp&amp;VS'!$J$48:$J$56</c:f>
              <c:numCache>
                <c:formatCode>0%</c:formatCode>
                <c:ptCount val="9"/>
                <c:pt idx="0">
                  <c:v>0</c:v>
                </c:pt>
                <c:pt idx="1">
                  <c:v>1.8746542978836957E-2</c:v>
                </c:pt>
                <c:pt idx="2">
                  <c:v>0.11978084564367543</c:v>
                </c:pt>
                <c:pt idx="3">
                  <c:v>0.22125664005998186</c:v>
                </c:pt>
                <c:pt idx="4">
                  <c:v>0.30489115604177541</c:v>
                </c:pt>
                <c:pt idx="5">
                  <c:v>0.36011130585370754</c:v>
                </c:pt>
                <c:pt idx="6">
                  <c:v>0.38971920767844459</c:v>
                </c:pt>
                <c:pt idx="7">
                  <c:v>0.40334431171793583</c:v>
                </c:pt>
                <c:pt idx="8">
                  <c:v>0.40908918896563207</c:v>
                </c:pt>
              </c:numCache>
            </c:numRef>
          </c:yVal>
          <c:smooth val="1"/>
          <c:extLst>
            <c:ext xmlns:c16="http://schemas.microsoft.com/office/drawing/2014/chart" uri="{C3380CC4-5D6E-409C-BE32-E72D297353CC}">
              <c16:uniqueId val="{00000005-01AE-4708-AA17-C9B72ECC5A5A}"/>
            </c:ext>
          </c:extLst>
        </c:ser>
        <c:dLbls>
          <c:showLegendKey val="0"/>
          <c:showVal val="0"/>
          <c:showCatName val="0"/>
          <c:showSerName val="0"/>
          <c:showPercent val="0"/>
          <c:showBubbleSize val="0"/>
        </c:dLbls>
        <c:axId val="74172288"/>
        <c:axId val="74173824"/>
      </c:scatterChart>
      <c:valAx>
        <c:axId val="51168768"/>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Temperature (</a:t>
                </a:r>
                <a:r>
                  <a:rPr lang="en-US" sz="800" b="0" i="0" strike="noStrike" baseline="30000">
                    <a:solidFill>
                      <a:srgbClr val="000000"/>
                    </a:solidFill>
                    <a:latin typeface="Arial"/>
                    <a:cs typeface="Arial"/>
                  </a:rPr>
                  <a:t>o</a:t>
                </a:r>
                <a:r>
                  <a:rPr lang="en-US" sz="800" b="0" i="0" strike="noStrike">
                    <a:solidFill>
                      <a:srgbClr val="000000"/>
                    </a:solidFill>
                    <a:latin typeface="Arial"/>
                    <a:cs typeface="Arial"/>
                  </a:rPr>
                  <a:t>C)</a:t>
                </a:r>
              </a:p>
            </c:rich>
          </c:tx>
          <c:layout>
            <c:manualLayout>
              <c:xMode val="edge"/>
              <c:yMode val="edge"/>
              <c:x val="0.33846194225721782"/>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4170368"/>
        <c:crosses val="autoZero"/>
        <c:crossBetween val="midCat"/>
      </c:valAx>
      <c:valAx>
        <c:axId val="7417036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68768"/>
        <c:crosses val="autoZero"/>
        <c:crossBetween val="midCat"/>
      </c:valAx>
      <c:valAx>
        <c:axId val="74172288"/>
        <c:scaling>
          <c:orientation val="minMax"/>
        </c:scaling>
        <c:delete val="1"/>
        <c:axPos val="b"/>
        <c:numFmt formatCode="General" sourceLinked="1"/>
        <c:majorTickMark val="out"/>
        <c:minorTickMark val="none"/>
        <c:tickLblPos val="nextTo"/>
        <c:crossAx val="74173824"/>
        <c:crosses val="autoZero"/>
        <c:crossBetween val="midCat"/>
      </c:valAx>
      <c:valAx>
        <c:axId val="74173824"/>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4172288"/>
        <c:crosses val="max"/>
        <c:crossBetween val="midCat"/>
      </c:valAx>
      <c:spPr>
        <a:noFill/>
        <a:ln w="12700">
          <a:solidFill>
            <a:srgbClr val="000000"/>
          </a:solidFill>
          <a:prstDash val="solid"/>
        </a:ln>
      </c:spPr>
    </c:plotArea>
    <c:legend>
      <c:legendPos val="r"/>
      <c:layout>
        <c:manualLayout>
          <c:xMode val="edge"/>
          <c:yMode val="edge"/>
          <c:x val="0.84615465374520493"/>
          <c:y val="0.32258064516129031"/>
          <c:w val="0.13846174035937819"/>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105115582093392"/>
          <c:y val="3.5294117647058823E-2"/>
        </c:manualLayout>
      </c:layout>
      <c:overlay val="0"/>
      <c:spPr>
        <a:noFill/>
        <a:ln w="25400">
          <a:noFill/>
        </a:ln>
      </c:spPr>
    </c:title>
    <c:autoTitleDeleted val="0"/>
    <c:plotArea>
      <c:layout>
        <c:manualLayout>
          <c:layoutTarget val="inner"/>
          <c:xMode val="edge"/>
          <c:yMode val="edge"/>
          <c:x val="0.1397060077496767"/>
          <c:y val="0.21562500000000001"/>
          <c:w val="0.57904463738352996"/>
          <c:h val="0.51562500000000078"/>
        </c:manualLayout>
      </c:layout>
      <c:scatterChart>
        <c:scatterStyle val="lineMarker"/>
        <c:varyColors val="0"/>
        <c:ser>
          <c:idx val="4"/>
          <c:order val="0"/>
          <c:tx>
            <c:strRef>
              <c:f>'RT&amp;Temp'!$C$30</c:f>
              <c:strCache>
                <c:ptCount val="1"/>
                <c:pt idx="0">
                  <c:v>15</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'RT&amp;Temp'!$G$30:$G$38</c:f>
              <c:numCache>
                <c:formatCode>0.000</c:formatCode>
                <c:ptCount val="9"/>
                <c:pt idx="0">
                  <c:v>0</c:v>
                </c:pt>
                <c:pt idx="1">
                  <c:v>0</c:v>
                </c:pt>
                <c:pt idx="2">
                  <c:v>0</c:v>
                </c:pt>
                <c:pt idx="3">
                  <c:v>0</c:v>
                </c:pt>
                <c:pt idx="4">
                  <c:v>0</c:v>
                </c:pt>
                <c:pt idx="5">
                  <c:v>0</c:v>
                </c:pt>
                <c:pt idx="6">
                  <c:v>0</c:v>
                </c:pt>
                <c:pt idx="7">
                  <c:v>9.4775140653172423E-3</c:v>
                </c:pt>
                <c:pt idx="8">
                  <c:v>0.10642091630739685</c:v>
                </c:pt>
              </c:numCache>
            </c:numRef>
          </c:yVal>
          <c:smooth val="1"/>
          <c:extLst>
            <c:ext xmlns:c16="http://schemas.microsoft.com/office/drawing/2014/chart" uri="{C3380CC4-5D6E-409C-BE32-E72D297353CC}">
              <c16:uniqueId val="{00000000-BA8E-4D48-963B-92B270408DE3}"/>
            </c:ext>
          </c:extLst>
        </c:ser>
        <c:ser>
          <c:idx val="1"/>
          <c:order val="1"/>
          <c:tx>
            <c:strRef>
              <c:f>'RT&amp;Temp'!$C$39</c:f>
              <c:strCache>
                <c:ptCount val="1"/>
                <c:pt idx="0">
                  <c:v>35</c:v>
                </c:pt>
              </c:strCache>
            </c:strRef>
          </c:tx>
          <c:spPr>
            <a:ln w="12700">
              <a:solidFill>
                <a:srgbClr val="000080"/>
              </a:solidFill>
              <a:prstDash val="solid"/>
            </a:ln>
          </c:spPr>
          <c:marker>
            <c:symbol val="circle"/>
            <c:size val="5"/>
            <c:spPr>
              <a:solidFill>
                <a:srgbClr val="000080"/>
              </a:solid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'RT&amp;Temp'!$G$39:$G$47</c:f>
              <c:numCache>
                <c:formatCode>0.000</c:formatCode>
                <c:ptCount val="9"/>
                <c:pt idx="0">
                  <c:v>1.1706069741971969</c:v>
                </c:pt>
                <c:pt idx="1">
                  <c:v>1.5664611043451464</c:v>
                </c:pt>
                <c:pt idx="2">
                  <c:v>1.4485229262960826</c:v>
                </c:pt>
                <c:pt idx="3">
                  <c:v>1.2851735525132941</c:v>
                </c:pt>
                <c:pt idx="4">
                  <c:v>1.1395052523400369</c:v>
                </c:pt>
                <c:pt idx="5">
                  <c:v>1.017991067852493</c:v>
                </c:pt>
                <c:pt idx="6">
                  <c:v>0.91750602506443701</c:v>
                </c:pt>
                <c:pt idx="7">
                  <c:v>0.83389740050594796</c:v>
                </c:pt>
                <c:pt idx="8">
                  <c:v>0.76361625668406641</c:v>
                </c:pt>
              </c:numCache>
            </c:numRef>
          </c:yVal>
          <c:smooth val="1"/>
          <c:extLst>
            <c:ext xmlns:c16="http://schemas.microsoft.com/office/drawing/2014/chart" uri="{C3380CC4-5D6E-409C-BE32-E72D297353CC}">
              <c16:uniqueId val="{00000001-BA8E-4D48-963B-92B270408DE3}"/>
            </c:ext>
          </c:extLst>
        </c:ser>
        <c:ser>
          <c:idx val="2"/>
          <c:order val="2"/>
          <c:tx>
            <c:strRef>
              <c:f>'RT&amp;Temp'!$C$48</c:f>
              <c:strCache>
                <c:ptCount val="1"/>
                <c:pt idx="0">
                  <c:v>55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'RT&amp;Temp'!$G$48:$G$56</c:f>
              <c:numCache>
                <c:formatCode>0.000</c:formatCode>
                <c:ptCount val="9"/>
                <c:pt idx="0">
                  <c:v>2.5571986644722302</c:v>
                </c:pt>
                <c:pt idx="1">
                  <c:v>2.142134230355432</c:v>
                </c:pt>
                <c:pt idx="2">
                  <c:v>1.7617695948130345</c:v>
                </c:pt>
                <c:pt idx="3">
                  <c:v>1.4817523280322631</c:v>
                </c:pt>
                <c:pt idx="4">
                  <c:v>1.2742573020559047</c:v>
                </c:pt>
                <c:pt idx="5">
                  <c:v>1.1160838786939438</c:v>
                </c:pt>
                <c:pt idx="6">
                  <c:v>0.99209288096916448</c:v>
                </c:pt>
                <c:pt idx="7">
                  <c:v>0.89251638278074519</c:v>
                </c:pt>
                <c:pt idx="8">
                  <c:v>0.81089573816645633</c:v>
                </c:pt>
              </c:numCache>
            </c:numRef>
          </c:yVal>
          <c:smooth val="1"/>
          <c:extLst>
            <c:ext xmlns:c16="http://schemas.microsoft.com/office/drawing/2014/chart" uri="{C3380CC4-5D6E-409C-BE32-E72D297353CC}">
              <c16:uniqueId val="{00000002-BA8E-4D48-963B-92B270408DE3}"/>
            </c:ext>
          </c:extLst>
        </c:ser>
        <c:dLbls>
          <c:showLegendKey val="0"/>
          <c:showVal val="0"/>
          <c:showCatName val="0"/>
          <c:showSerName val="0"/>
          <c:showPercent val="0"/>
          <c:showBubbleSize val="0"/>
        </c:dLbls>
        <c:axId val="50820992"/>
        <c:axId val="50827648"/>
      </c:scatterChart>
      <c:scatterChart>
        <c:scatterStyle val="lineMarker"/>
        <c:varyColors val="0"/>
        <c:ser>
          <c:idx val="0"/>
          <c:order val="3"/>
          <c:tx>
            <c:strRef>
              <c:f>'RT&amp;Temp'!$C$30</c:f>
              <c:strCache>
                <c:ptCount val="1"/>
                <c:pt idx="0">
                  <c:v>15</c:v>
                </c:pt>
              </c:strCache>
            </c:strRef>
          </c:tx>
          <c:spPr>
            <a:ln w="12700">
              <a:solidFill>
                <a:srgbClr val="FF0000"/>
              </a:solidFill>
              <a:prstDash val="sysDash"/>
            </a:ln>
          </c:spPr>
          <c:marker>
            <c:symbol val="plus"/>
            <c:size val="5"/>
            <c:spPr>
              <a:no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'RT&amp;Temp'!$H$30:$H$38</c:f>
              <c:numCache>
                <c:formatCode>0.0</c:formatCode>
                <c:ptCount val="9"/>
                <c:pt idx="0">
                  <c:v>0</c:v>
                </c:pt>
                <c:pt idx="1">
                  <c:v>0</c:v>
                </c:pt>
                <c:pt idx="2">
                  <c:v>0</c:v>
                </c:pt>
                <c:pt idx="3">
                  <c:v>0</c:v>
                </c:pt>
                <c:pt idx="4">
                  <c:v>0</c:v>
                </c:pt>
                <c:pt idx="5">
                  <c:v>0</c:v>
                </c:pt>
                <c:pt idx="6">
                  <c:v>0</c:v>
                </c:pt>
                <c:pt idx="7">
                  <c:v>0.16964750176917862</c:v>
                </c:pt>
                <c:pt idx="8">
                  <c:v>2.1177762345171973</c:v>
                </c:pt>
              </c:numCache>
            </c:numRef>
          </c:yVal>
          <c:smooth val="1"/>
          <c:extLst>
            <c:ext xmlns:c16="http://schemas.microsoft.com/office/drawing/2014/chart" uri="{C3380CC4-5D6E-409C-BE32-E72D297353CC}">
              <c16:uniqueId val="{00000003-BA8E-4D48-963B-92B270408DE3}"/>
            </c:ext>
          </c:extLst>
        </c:ser>
        <c:ser>
          <c:idx val="3"/>
          <c:order val="4"/>
          <c:tx>
            <c:strRef>
              <c:f>'RT&amp;Temp'!$C$39</c:f>
              <c:strCache>
                <c:ptCount val="1"/>
                <c:pt idx="0">
                  <c:v>35</c:v>
                </c:pt>
              </c:strCache>
            </c:strRef>
          </c:tx>
          <c:spPr>
            <a:ln w="12700">
              <a:solidFill>
                <a:srgbClr val="000080"/>
              </a:solidFill>
              <a:prstDash val="sysDash"/>
            </a:ln>
          </c:spPr>
          <c:marker>
            <c:symbol val="star"/>
            <c:size val="5"/>
            <c:spPr>
              <a:noFill/>
              <a:ln>
                <a:solidFill>
                  <a:srgbClr val="00008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'RT&amp;Temp'!$H$39:$H$47</c:f>
              <c:numCache>
                <c:formatCode>0.0</c:formatCode>
                <c:ptCount val="9"/>
                <c:pt idx="0">
                  <c:v>4.5653671993690681</c:v>
                </c:pt>
                <c:pt idx="1">
                  <c:v>9.2421205156363637</c:v>
                </c:pt>
                <c:pt idx="2">
                  <c:v>11.443331117739053</c:v>
                </c:pt>
                <c:pt idx="3">
                  <c:v>12.723218169881612</c:v>
                </c:pt>
                <c:pt idx="4">
                  <c:v>13.560112502846438</c:v>
                </c:pt>
                <c:pt idx="5">
                  <c:v>14.150075843149654</c:v>
                </c:pt>
                <c:pt idx="6">
                  <c:v>14.588345798524548</c:v>
                </c:pt>
                <c:pt idx="7">
                  <c:v>14.926763469056468</c:v>
                </c:pt>
                <c:pt idx="8">
                  <c:v>15.19596350801292</c:v>
                </c:pt>
              </c:numCache>
            </c:numRef>
          </c:yVal>
          <c:smooth val="1"/>
          <c:extLst>
            <c:ext xmlns:c16="http://schemas.microsoft.com/office/drawing/2014/chart" uri="{C3380CC4-5D6E-409C-BE32-E72D297353CC}">
              <c16:uniqueId val="{00000004-BA8E-4D48-963B-92B270408DE3}"/>
            </c:ext>
          </c:extLst>
        </c:ser>
        <c:ser>
          <c:idx val="5"/>
          <c:order val="5"/>
          <c:tx>
            <c:strRef>
              <c:f>'RT&amp;Temp'!$C$48</c:f>
              <c:strCache>
                <c:ptCount val="1"/>
                <c:pt idx="0">
                  <c:v>55</c:v>
                </c:pt>
              </c:strCache>
            </c:strRef>
          </c:tx>
          <c:spPr>
            <a:ln w="12700">
              <a:solidFill>
                <a:srgbClr val="FF00FF"/>
              </a:solidFill>
              <a:prstDash val="sysDash"/>
            </a:ln>
          </c:spPr>
          <c:marker>
            <c:symbol val="circle"/>
            <c:size val="5"/>
            <c:spPr>
              <a:noFill/>
              <a:ln>
                <a:solidFill>
                  <a:srgbClr val="80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'RT&amp;Temp'!$H$48:$H$56</c:f>
              <c:numCache>
                <c:formatCode>0.0</c:formatCode>
                <c:ptCount val="9"/>
                <c:pt idx="0">
                  <c:v>9.9730747914416984</c:v>
                </c:pt>
                <c:pt idx="1">
                  <c:v>12.638591959097051</c:v>
                </c:pt>
                <c:pt idx="2">
                  <c:v>13.917979799022973</c:v>
                </c:pt>
                <c:pt idx="3">
                  <c:v>14.669348047519405</c:v>
                </c:pt>
                <c:pt idx="4">
                  <c:v>15.163661894465266</c:v>
                </c:pt>
                <c:pt idx="5">
                  <c:v>15.513565913845818</c:v>
                </c:pt>
                <c:pt idx="6">
                  <c:v>15.774276807409716</c:v>
                </c:pt>
                <c:pt idx="7">
                  <c:v>15.976043251775337</c:v>
                </c:pt>
                <c:pt idx="8">
                  <c:v>16.136825189512479</c:v>
                </c:pt>
              </c:numCache>
            </c:numRef>
          </c:yVal>
          <c:smooth val="1"/>
          <c:extLst>
            <c:ext xmlns:c16="http://schemas.microsoft.com/office/drawing/2014/chart" uri="{C3380CC4-5D6E-409C-BE32-E72D297353CC}">
              <c16:uniqueId val="{00000005-BA8E-4D48-963B-92B270408DE3}"/>
            </c:ext>
          </c:extLst>
        </c:ser>
        <c:dLbls>
          <c:showLegendKey val="0"/>
          <c:showVal val="0"/>
          <c:showCatName val="0"/>
          <c:showSerName val="0"/>
          <c:showPercent val="0"/>
          <c:showBubbleSize val="0"/>
        </c:dLbls>
        <c:axId val="50829568"/>
        <c:axId val="50847744"/>
      </c:scatterChart>
      <c:valAx>
        <c:axId val="50820992"/>
        <c:scaling>
          <c:orientation val="minMax"/>
        </c:scaling>
        <c:delete val="0"/>
        <c:axPos val="b"/>
        <c:title>
          <c:tx>
            <c:rich>
              <a:bodyPr/>
              <a:lstStyle/>
              <a:p>
                <a:pPr>
                  <a:defRPr sz="800" b="0" i="0" u="none" strike="noStrike" baseline="0">
                    <a:solidFill>
                      <a:srgbClr val="000000"/>
                    </a:solidFill>
                    <a:latin typeface="Arial"/>
                    <a:ea typeface="Arial"/>
                    <a:cs typeface="Arial"/>
                  </a:defRPr>
                </a:pPr>
                <a:r>
                  <a:rPr lang="en-AU"/>
                  <a:t>Retention Time (days)</a:t>
                </a:r>
              </a:p>
            </c:rich>
          </c:tx>
          <c:layout>
            <c:manualLayout>
              <c:xMode val="edge"/>
              <c:yMode val="edge"/>
              <c:x val="0.33800387035683588"/>
              <c:y val="0.89411888219854863"/>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7648"/>
        <c:crosses val="autoZero"/>
        <c:crossBetween val="midCat"/>
      </c:valAx>
      <c:valAx>
        <c:axId val="5082764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a:t>
                </a:r>
              </a:p>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565674255691769E-3"/>
              <c:y val="0.2852944264319901"/>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0992"/>
        <c:crosses val="autoZero"/>
        <c:crossBetween val="midCat"/>
      </c:valAx>
      <c:valAx>
        <c:axId val="50829568"/>
        <c:scaling>
          <c:orientation val="minMax"/>
        </c:scaling>
        <c:delete val="1"/>
        <c:axPos val="b"/>
        <c:numFmt formatCode="General" sourceLinked="1"/>
        <c:majorTickMark val="out"/>
        <c:minorTickMark val="none"/>
        <c:tickLblPos val="nextTo"/>
        <c:crossAx val="50847744"/>
        <c:crosses val="autoZero"/>
        <c:crossBetween val="midCat"/>
      </c:valAx>
      <c:valAx>
        <c:axId val="50847744"/>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a:t>
                </a:r>
              </a:p>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79509705770141248"/>
              <c:y val="0.3147061911378724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9568"/>
        <c:crosses val="max"/>
        <c:crossBetween val="midCat"/>
      </c:valAx>
      <c:spPr>
        <a:noFill/>
        <a:ln w="12700">
          <a:solidFill>
            <a:srgbClr val="000000"/>
          </a:solidFill>
          <a:prstDash val="solid"/>
        </a:ln>
      </c:spPr>
    </c:plotArea>
    <c:legend>
      <c:legendPos val="r"/>
      <c:layout>
        <c:manualLayout>
          <c:xMode val="edge"/>
          <c:yMode val="edge"/>
          <c:x val="0.87565747801664895"/>
          <c:y val="0.32941238227574493"/>
          <c:w val="0.11033293342710448"/>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4919369525904036"/>
          <c:y val="0.21183865069682986"/>
          <c:w val="0.53629085052574033"/>
          <c:h val="0.50778970681740054"/>
        </c:manualLayout>
      </c:layout>
      <c:scatterChart>
        <c:scatterStyle val="smoothMarker"/>
        <c:varyColors val="0"/>
        <c:ser>
          <c:idx val="0"/>
          <c:order val="0"/>
          <c:tx>
            <c:strRef>
              <c:f>'RT&amp;Temp'!$C$30</c:f>
              <c:strCache>
                <c:ptCount val="1"/>
                <c:pt idx="0">
                  <c:v>15</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'RT&amp;Temp'!$I$30:$I$38</c:f>
              <c:numCache>
                <c:formatCode>0.0</c:formatCode>
                <c:ptCount val="9"/>
                <c:pt idx="0">
                  <c:v>52</c:v>
                </c:pt>
                <c:pt idx="1">
                  <c:v>52</c:v>
                </c:pt>
                <c:pt idx="2">
                  <c:v>52</c:v>
                </c:pt>
                <c:pt idx="3">
                  <c:v>52</c:v>
                </c:pt>
                <c:pt idx="4">
                  <c:v>52</c:v>
                </c:pt>
                <c:pt idx="5">
                  <c:v>52</c:v>
                </c:pt>
                <c:pt idx="6">
                  <c:v>52</c:v>
                </c:pt>
                <c:pt idx="7">
                  <c:v>51.660704996461639</c:v>
                </c:pt>
                <c:pt idx="8">
                  <c:v>47.764447530965604</c:v>
                </c:pt>
              </c:numCache>
            </c:numRef>
          </c:yVal>
          <c:smooth val="1"/>
          <c:extLst>
            <c:ext xmlns:c16="http://schemas.microsoft.com/office/drawing/2014/chart" uri="{C3380CC4-5D6E-409C-BE32-E72D297353CC}">
              <c16:uniqueId val="{00000000-D405-40AA-8015-DDA7682A0B38}"/>
            </c:ext>
          </c:extLst>
        </c:ser>
        <c:ser>
          <c:idx val="1"/>
          <c:order val="1"/>
          <c:tx>
            <c:strRef>
              <c:f>'RT&amp;Temp'!$C$39</c:f>
              <c:strCache>
                <c:ptCount val="1"/>
                <c:pt idx="0">
                  <c:v>35</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'RT&amp;Temp'!$I$39:$I$47</c:f>
              <c:numCache>
                <c:formatCode>0.0</c:formatCode>
                <c:ptCount val="9"/>
                <c:pt idx="0">
                  <c:v>42.869265601261866</c:v>
                </c:pt>
                <c:pt idx="1">
                  <c:v>33.515758968727269</c:v>
                </c:pt>
                <c:pt idx="2">
                  <c:v>29.113337764521894</c:v>
                </c:pt>
                <c:pt idx="3">
                  <c:v>26.553563660236776</c:v>
                </c:pt>
                <c:pt idx="4">
                  <c:v>24.879774994307123</c:v>
                </c:pt>
                <c:pt idx="5">
                  <c:v>23.699848313700691</c:v>
                </c:pt>
                <c:pt idx="6">
                  <c:v>22.823308402950904</c:v>
                </c:pt>
                <c:pt idx="7">
                  <c:v>22.146473061887065</c:v>
                </c:pt>
                <c:pt idx="8">
                  <c:v>21.608072983974161</c:v>
                </c:pt>
              </c:numCache>
            </c:numRef>
          </c:yVal>
          <c:smooth val="1"/>
          <c:extLst>
            <c:ext xmlns:c16="http://schemas.microsoft.com/office/drawing/2014/chart" uri="{C3380CC4-5D6E-409C-BE32-E72D297353CC}">
              <c16:uniqueId val="{00000001-D405-40AA-8015-DDA7682A0B38}"/>
            </c:ext>
          </c:extLst>
        </c:ser>
        <c:ser>
          <c:idx val="2"/>
          <c:order val="2"/>
          <c:tx>
            <c:strRef>
              <c:f>'RT&amp;Temp'!$C$48</c:f>
              <c:strCache>
                <c:ptCount val="1"/>
                <c:pt idx="0">
                  <c:v>55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'RT&amp;Temp'!$I$48:$I$56</c:f>
              <c:numCache>
                <c:formatCode>0.0</c:formatCode>
                <c:ptCount val="9"/>
                <c:pt idx="0">
                  <c:v>32.053850417116607</c:v>
                </c:pt>
                <c:pt idx="1">
                  <c:v>26.722816081805899</c:v>
                </c:pt>
                <c:pt idx="2">
                  <c:v>24.164040401954054</c:v>
                </c:pt>
                <c:pt idx="3">
                  <c:v>22.661303904961191</c:v>
                </c:pt>
                <c:pt idx="4">
                  <c:v>21.672676211069469</c:v>
                </c:pt>
                <c:pt idx="5">
                  <c:v>20.972868172308363</c:v>
                </c:pt>
                <c:pt idx="6">
                  <c:v>20.451446385180567</c:v>
                </c:pt>
                <c:pt idx="7">
                  <c:v>20.047913496449326</c:v>
                </c:pt>
                <c:pt idx="8">
                  <c:v>19.726349620975043</c:v>
                </c:pt>
              </c:numCache>
            </c:numRef>
          </c:yVal>
          <c:smooth val="1"/>
          <c:extLst>
            <c:ext xmlns:c16="http://schemas.microsoft.com/office/drawing/2014/chart" uri="{C3380CC4-5D6E-409C-BE32-E72D297353CC}">
              <c16:uniqueId val="{00000002-D405-40AA-8015-DDA7682A0B38}"/>
            </c:ext>
          </c:extLst>
        </c:ser>
        <c:dLbls>
          <c:showLegendKey val="0"/>
          <c:showVal val="0"/>
          <c:showCatName val="0"/>
          <c:showSerName val="0"/>
          <c:showPercent val="0"/>
          <c:showBubbleSize val="0"/>
        </c:dLbls>
        <c:axId val="50893568"/>
        <c:axId val="50895872"/>
      </c:scatterChart>
      <c:scatterChart>
        <c:scatterStyle val="lineMarker"/>
        <c:varyColors val="0"/>
        <c:ser>
          <c:idx val="3"/>
          <c:order val="3"/>
          <c:tx>
            <c:strRef>
              <c:f>'RT&amp;Temp'!$C$30</c:f>
              <c:strCache>
                <c:ptCount val="1"/>
                <c:pt idx="0">
                  <c:v>15</c:v>
                </c:pt>
              </c:strCache>
            </c:strRef>
          </c:tx>
          <c:spPr>
            <a:ln w="12700">
              <a:solidFill>
                <a:srgbClr val="FF0000"/>
              </a:solidFill>
              <a:prstDash val="sysDash"/>
            </a:ln>
          </c:spPr>
          <c:marker>
            <c:symbol val="plus"/>
            <c:size val="5"/>
            <c:spPr>
              <a:no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'RT&amp;Temp'!$J$30:$J$38</c:f>
              <c:numCache>
                <c:formatCode>0%</c:formatCode>
                <c:ptCount val="9"/>
                <c:pt idx="0">
                  <c:v>0</c:v>
                </c:pt>
                <c:pt idx="1">
                  <c:v>0</c:v>
                </c:pt>
                <c:pt idx="2">
                  <c:v>0</c:v>
                </c:pt>
                <c:pt idx="3">
                  <c:v>0</c:v>
                </c:pt>
                <c:pt idx="4">
                  <c:v>0</c:v>
                </c:pt>
                <c:pt idx="5">
                  <c:v>0</c:v>
                </c:pt>
                <c:pt idx="6">
                  <c:v>0</c:v>
                </c:pt>
                <c:pt idx="7">
                  <c:v>6.5249039141992426E-3</c:v>
                </c:pt>
                <c:pt idx="8">
                  <c:v>8.1452932096815298E-2</c:v>
                </c:pt>
              </c:numCache>
            </c:numRef>
          </c:yVal>
          <c:smooth val="1"/>
          <c:extLst>
            <c:ext xmlns:c16="http://schemas.microsoft.com/office/drawing/2014/chart" uri="{C3380CC4-5D6E-409C-BE32-E72D297353CC}">
              <c16:uniqueId val="{00000003-D405-40AA-8015-DDA7682A0B38}"/>
            </c:ext>
          </c:extLst>
        </c:ser>
        <c:ser>
          <c:idx val="4"/>
          <c:order val="4"/>
          <c:tx>
            <c:strRef>
              <c:f>'RT&amp;Temp'!$C$39</c:f>
              <c:strCache>
                <c:ptCount val="1"/>
                <c:pt idx="0">
                  <c:v>35</c:v>
                </c:pt>
              </c:strCache>
            </c:strRef>
          </c:tx>
          <c:spPr>
            <a:ln w="12700">
              <a:solidFill>
                <a:srgbClr val="000080"/>
              </a:solidFill>
              <a:prstDash val="sysDash"/>
            </a:ln>
          </c:spPr>
          <c:marker>
            <c:symbol val="x"/>
            <c:size val="5"/>
            <c:spPr>
              <a:no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'RT&amp;Temp'!$J$39:$J$47</c:f>
              <c:numCache>
                <c:formatCode>0%</c:formatCode>
                <c:ptCount val="9"/>
                <c:pt idx="0">
                  <c:v>0.17559104612957951</c:v>
                </c:pt>
                <c:pt idx="1">
                  <c:v>0.35546617367832173</c:v>
                </c:pt>
                <c:pt idx="2">
                  <c:v>0.44012811991304052</c:v>
                </c:pt>
                <c:pt idx="3">
                  <c:v>0.48935454499544662</c:v>
                </c:pt>
                <c:pt idx="4">
                  <c:v>0.52154278857101688</c:v>
                </c:pt>
                <c:pt idx="5">
                  <c:v>0.54423368627498669</c:v>
                </c:pt>
                <c:pt idx="6">
                  <c:v>0.56109022302017497</c:v>
                </c:pt>
                <c:pt idx="7">
                  <c:v>0.57410628727140256</c:v>
                </c:pt>
                <c:pt idx="8">
                  <c:v>0.58446013492357385</c:v>
                </c:pt>
              </c:numCache>
            </c:numRef>
          </c:yVal>
          <c:smooth val="1"/>
          <c:extLst>
            <c:ext xmlns:c16="http://schemas.microsoft.com/office/drawing/2014/chart" uri="{C3380CC4-5D6E-409C-BE32-E72D297353CC}">
              <c16:uniqueId val="{00000004-D405-40AA-8015-DDA7682A0B38}"/>
            </c:ext>
          </c:extLst>
        </c:ser>
        <c:ser>
          <c:idx val="5"/>
          <c:order val="5"/>
          <c:tx>
            <c:strRef>
              <c:f>'RT&amp;Temp'!$C$48</c:f>
              <c:strCache>
                <c:ptCount val="1"/>
                <c:pt idx="0">
                  <c:v>55</c:v>
                </c:pt>
              </c:strCache>
            </c:strRef>
          </c:tx>
          <c:spPr>
            <a:ln w="12700">
              <a:solidFill>
                <a:srgbClr val="FF00FF"/>
              </a:solidFill>
              <a:prstDash val="sysDash"/>
            </a:ln>
          </c:spPr>
          <c:marker>
            <c:symbol val="circle"/>
            <c:size val="5"/>
            <c:spPr>
              <a:no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'RT&amp;Temp'!$J$48:$J$56</c:f>
              <c:numCache>
                <c:formatCode>0%</c:formatCode>
                <c:ptCount val="9"/>
                <c:pt idx="0">
                  <c:v>0.3835797996708345</c:v>
                </c:pt>
                <c:pt idx="1">
                  <c:v>0.48609969073450193</c:v>
                </c:pt>
                <c:pt idx="2">
                  <c:v>0.53530691534703745</c:v>
                </c:pt>
                <c:pt idx="3">
                  <c:v>0.5642056941353617</c:v>
                </c:pt>
                <c:pt idx="4">
                  <c:v>0.58321776517174095</c:v>
                </c:pt>
                <c:pt idx="5">
                  <c:v>0.59667561207099307</c:v>
                </c:pt>
                <c:pt idx="6">
                  <c:v>0.60670295413114295</c:v>
                </c:pt>
                <c:pt idx="7">
                  <c:v>0.61446320199135918</c:v>
                </c:pt>
                <c:pt idx="8">
                  <c:v>0.62064712267355682</c:v>
                </c:pt>
              </c:numCache>
            </c:numRef>
          </c:yVal>
          <c:smooth val="1"/>
          <c:extLst>
            <c:ext xmlns:c16="http://schemas.microsoft.com/office/drawing/2014/chart" uri="{C3380CC4-5D6E-409C-BE32-E72D297353CC}">
              <c16:uniqueId val="{00000005-D405-40AA-8015-DDA7682A0B38}"/>
            </c:ext>
          </c:extLst>
        </c:ser>
        <c:dLbls>
          <c:showLegendKey val="0"/>
          <c:showVal val="0"/>
          <c:showCatName val="0"/>
          <c:showSerName val="0"/>
          <c:showPercent val="0"/>
          <c:showBubbleSize val="0"/>
        </c:dLbls>
        <c:axId val="50902144"/>
        <c:axId val="50903680"/>
      </c:scatterChart>
      <c:valAx>
        <c:axId val="50893568"/>
        <c:scaling>
          <c:orientation val="minMax"/>
        </c:scaling>
        <c:delete val="0"/>
        <c:axPos val="b"/>
        <c:title>
          <c:tx>
            <c:rich>
              <a:bodyPr/>
              <a:lstStyle/>
              <a:p>
                <a:pPr>
                  <a:defRPr sz="800" b="0" i="0" u="none" strike="noStrike" baseline="0">
                    <a:solidFill>
                      <a:srgbClr val="000000"/>
                    </a:solidFill>
                    <a:latin typeface="Arial"/>
                    <a:ea typeface="Arial"/>
                    <a:cs typeface="Arial"/>
                  </a:defRPr>
                </a:pPr>
                <a:r>
                  <a:rPr lang="en-AU"/>
                  <a:t>Retention Time (days)</a:t>
                </a:r>
              </a:p>
            </c:rich>
          </c:tx>
          <c:layout>
            <c:manualLayout>
              <c:xMode val="edge"/>
              <c:yMode val="edge"/>
              <c:x val="0.31730789420553202"/>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95872"/>
        <c:crosses val="autoZero"/>
        <c:crossBetween val="midCat"/>
      </c:valAx>
      <c:valAx>
        <c:axId val="50895872"/>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93568"/>
        <c:crosses val="autoZero"/>
        <c:crossBetween val="midCat"/>
      </c:valAx>
      <c:valAx>
        <c:axId val="50902144"/>
        <c:scaling>
          <c:orientation val="minMax"/>
        </c:scaling>
        <c:delete val="1"/>
        <c:axPos val="b"/>
        <c:numFmt formatCode="General" sourceLinked="1"/>
        <c:majorTickMark val="out"/>
        <c:minorTickMark val="none"/>
        <c:tickLblPos val="nextTo"/>
        <c:crossAx val="50903680"/>
        <c:crosses val="autoZero"/>
        <c:crossBetween val="midCat"/>
      </c:valAx>
      <c:valAx>
        <c:axId val="5090368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02144"/>
        <c:crosses val="max"/>
        <c:crossBetween val="midCat"/>
      </c:valAx>
      <c:spPr>
        <a:noFill/>
        <a:ln w="12700">
          <a:solidFill>
            <a:srgbClr val="000000"/>
          </a:solidFill>
          <a:prstDash val="solid"/>
        </a:ln>
      </c:spPr>
    </c:plotArea>
    <c:legend>
      <c:legendPos val="r"/>
      <c:layout>
        <c:manualLayout>
          <c:xMode val="edge"/>
          <c:yMode val="edge"/>
          <c:x val="0.86346234605289718"/>
          <c:y val="0.32258064516129031"/>
          <c:w val="0.12115404805168584"/>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horizontalDpi="96" verticalDpi="96"/>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AU"/>
              <a:t>Cost of Gas / Nett Gas Production</a:t>
            </a:r>
          </a:p>
        </c:rich>
      </c:tx>
      <c:layout>
        <c:manualLayout>
          <c:xMode val="edge"/>
          <c:yMode val="edge"/>
          <c:x val="0.39139365775999313"/>
          <c:y val="2.768166089965398E-2"/>
        </c:manualLayout>
      </c:layout>
      <c:overlay val="0"/>
      <c:spPr>
        <a:noFill/>
        <a:ln w="25400">
          <a:noFill/>
        </a:ln>
      </c:spPr>
    </c:title>
    <c:autoTitleDeleted val="0"/>
    <c:plotArea>
      <c:layout>
        <c:manualLayout>
          <c:layoutTarget val="inner"/>
          <c:xMode val="edge"/>
          <c:yMode val="edge"/>
          <c:x val="7.581971006285132E-2"/>
          <c:y val="0.12110726643598622"/>
          <c:w val="0.79405777430688795"/>
          <c:h val="0.76643598615916964"/>
        </c:manualLayout>
      </c:layout>
      <c:scatterChart>
        <c:scatterStyle val="lineMarker"/>
        <c:varyColors val="0"/>
        <c:ser>
          <c:idx val="3"/>
          <c:order val="0"/>
          <c:tx>
            <c:strRef>
              <c:f>'Costing (Temp &amp; RT)'!$B$9</c:f>
              <c:strCache>
                <c:ptCount val="1"/>
                <c:pt idx="0">
                  <c:v>3.9</c:v>
                </c:pt>
              </c:strCache>
            </c:strRef>
          </c:tx>
          <c:spPr>
            <a:ln w="12700">
              <a:solidFill>
                <a:srgbClr val="FF0000"/>
              </a:solidFill>
              <a:prstDash val="solid"/>
            </a:ln>
          </c:spPr>
          <c:marker>
            <c:symbol val="x"/>
            <c:size val="5"/>
            <c:spPr>
              <a:no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RT)'!$L$9:$L$17</c:f>
              <c:numCache>
                <c:formatCode>_-"$"* #,##0.00_-;\-"$"* #,##0.00_-;_-"$"* "-"??_-;_-@_-</c:formatCode>
                <c:ptCount val="9"/>
                <c:pt idx="0">
                  <c:v>0</c:v>
                </c:pt>
                <c:pt idx="1">
                  <c:v>0</c:v>
                </c:pt>
                <c:pt idx="2">
                  <c:v>0</c:v>
                </c:pt>
                <c:pt idx="3">
                  <c:v>0</c:v>
                </c:pt>
                <c:pt idx="4">
                  <c:v>2.7126741734797004E-2</c:v>
                </c:pt>
                <c:pt idx="5">
                  <c:v>1.5640961625749638E-2</c:v>
                </c:pt>
                <c:pt idx="6">
                  <c:v>1.3254618658781749E-2</c:v>
                </c:pt>
                <c:pt idx="7">
                  <c:v>1.2561685464550944E-2</c:v>
                </c:pt>
                <c:pt idx="8">
                  <c:v>1.2411251697109483E-2</c:v>
                </c:pt>
              </c:numCache>
            </c:numRef>
          </c:yVal>
          <c:smooth val="0"/>
          <c:extLst>
            <c:ext xmlns:c16="http://schemas.microsoft.com/office/drawing/2014/chart" uri="{C3380CC4-5D6E-409C-BE32-E72D297353CC}">
              <c16:uniqueId val="{00000000-E131-435E-85BF-D618ED294814}"/>
            </c:ext>
          </c:extLst>
        </c:ser>
        <c:ser>
          <c:idx val="0"/>
          <c:order val="1"/>
          <c:tx>
            <c:strRef>
              <c:f>'Costing (Temp &amp; RT)'!$B$18</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'Costing (Temp &amp; RT)'!$A$18:$A$26</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RT)'!$L$18:$L$26</c:f>
              <c:numCache>
                <c:formatCode>_-"$"* #,##0.00_-;\-"$"* #,##0.00_-;_-"$"* "-"??_-;_-@_-</c:formatCode>
                <c:ptCount val="9"/>
                <c:pt idx="0">
                  <c:v>0</c:v>
                </c:pt>
                <c:pt idx="1">
                  <c:v>0.20808728215611111</c:v>
                </c:pt>
                <c:pt idx="2">
                  <c:v>4.3002597744023242E-2</c:v>
                </c:pt>
                <c:pt idx="3">
                  <c:v>3.0463898035650961E-2</c:v>
                </c:pt>
                <c:pt idx="4">
                  <c:v>2.6644802454267074E-2</c:v>
                </c:pt>
                <c:pt idx="5">
                  <c:v>2.5323864321902614E-2</c:v>
                </c:pt>
                <c:pt idx="6">
                  <c:v>2.5023456241004282E-2</c:v>
                </c:pt>
                <c:pt idx="7">
                  <c:v>2.5180611098347638E-2</c:v>
                </c:pt>
                <c:pt idx="8">
                  <c:v>2.5545810258097639E-2</c:v>
                </c:pt>
              </c:numCache>
            </c:numRef>
          </c:yVal>
          <c:smooth val="0"/>
          <c:extLst>
            <c:ext xmlns:c16="http://schemas.microsoft.com/office/drawing/2014/chart" uri="{C3380CC4-5D6E-409C-BE32-E72D297353CC}">
              <c16:uniqueId val="{00000001-E131-435E-85BF-D618ED294814}"/>
            </c:ext>
          </c:extLst>
        </c:ser>
        <c:ser>
          <c:idx val="1"/>
          <c:order val="2"/>
          <c:tx>
            <c:strRef>
              <c:f>'Costing (Temp &amp; RT)'!$B$27</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'Costing (Temp &amp; RT)'!$A$27:$A$35</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RT)'!$L$27:$L$35</c:f>
              <c:numCache>
                <c:formatCode>_-"$"* #,##0.00_-;\-"$"* #,##0.00_-;_-"$"* "-"??_-;_-@_-</c:formatCode>
                <c:ptCount val="9"/>
                <c:pt idx="0">
                  <c:v>0.26214250211144574</c:v>
                </c:pt>
                <c:pt idx="1">
                  <c:v>6.7463138740954803E-2</c:v>
                </c:pt>
                <c:pt idx="2">
                  <c:v>4.8578655229225484E-2</c:v>
                </c:pt>
                <c:pt idx="3">
                  <c:v>4.2572973769378512E-2</c:v>
                </c:pt>
                <c:pt idx="4">
                  <c:v>4.0397925385456515E-2</c:v>
                </c:pt>
                <c:pt idx="5">
                  <c:v>3.9889156852178004E-2</c:v>
                </c:pt>
                <c:pt idx="6">
                  <c:v>4.0215074449741102E-2</c:v>
                </c:pt>
                <c:pt idx="7">
                  <c:v>4.0968644714389074E-2</c:v>
                </c:pt>
                <c:pt idx="8">
                  <c:v>4.194662534824746E-2</c:v>
                </c:pt>
              </c:numCache>
            </c:numRef>
          </c:yVal>
          <c:smooth val="0"/>
          <c:extLst>
            <c:ext xmlns:c16="http://schemas.microsoft.com/office/drawing/2014/chart" uri="{C3380CC4-5D6E-409C-BE32-E72D297353CC}">
              <c16:uniqueId val="{00000002-E131-435E-85BF-D618ED294814}"/>
            </c:ext>
          </c:extLst>
        </c:ser>
        <c:dLbls>
          <c:showLegendKey val="0"/>
          <c:showVal val="0"/>
          <c:showCatName val="0"/>
          <c:showSerName val="0"/>
          <c:showPercent val="0"/>
          <c:showBubbleSize val="0"/>
        </c:dLbls>
        <c:axId val="10990336"/>
        <c:axId val="10992640"/>
      </c:scatterChart>
      <c:scatterChart>
        <c:scatterStyle val="lineMarker"/>
        <c:varyColors val="0"/>
        <c:ser>
          <c:idx val="2"/>
          <c:order val="3"/>
          <c:tx>
            <c:strRef>
              <c:f>'Costing (Temp &amp; RT)'!$B$9</c:f>
              <c:strCache>
                <c:ptCount val="1"/>
                <c:pt idx="0">
                  <c:v>3.9</c:v>
                </c:pt>
              </c:strCache>
            </c:strRef>
          </c:tx>
          <c:spPr>
            <a:ln w="12700">
              <a:solidFill>
                <a:srgbClr val="FF0000"/>
              </a:solidFill>
              <a:prstDash val="sysDash"/>
            </a:ln>
          </c:spPr>
          <c:marker>
            <c:symbol val="triangle"/>
            <c:size val="5"/>
            <c:spPr>
              <a:solidFill>
                <a:srgbClr val="FF0000"/>
              </a:solid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RT)'!$K$9:$K$17</c:f>
              <c:numCache>
                <c:formatCode>0</c:formatCode>
                <c:ptCount val="9"/>
                <c:pt idx="0">
                  <c:v>0</c:v>
                </c:pt>
                <c:pt idx="1">
                  <c:v>0</c:v>
                </c:pt>
                <c:pt idx="2">
                  <c:v>0</c:v>
                </c:pt>
                <c:pt idx="3">
                  <c:v>0</c:v>
                </c:pt>
                <c:pt idx="4">
                  <c:v>4846.1862242478692</c:v>
                </c:pt>
                <c:pt idx="5">
                  <c:v>8423.9686357946193</c:v>
                </c:pt>
                <c:pt idx="6">
                  <c:v>9963.0703555977543</c:v>
                </c:pt>
                <c:pt idx="7">
                  <c:v>10536.358888514158</c:v>
                </c:pt>
                <c:pt idx="8">
                  <c:v>10688.056096317312</c:v>
                </c:pt>
              </c:numCache>
            </c:numRef>
          </c:yVal>
          <c:smooth val="0"/>
          <c:extLst>
            <c:ext xmlns:c16="http://schemas.microsoft.com/office/drawing/2014/chart" uri="{C3380CC4-5D6E-409C-BE32-E72D297353CC}">
              <c16:uniqueId val="{00000003-E131-435E-85BF-D618ED294814}"/>
            </c:ext>
          </c:extLst>
        </c:ser>
        <c:ser>
          <c:idx val="4"/>
          <c:order val="4"/>
          <c:tx>
            <c:strRef>
              <c:f>'Costing (Temp &amp; RT)'!$B$18</c:f>
              <c:strCache>
                <c:ptCount val="1"/>
                <c:pt idx="0">
                  <c:v>11.9</c:v>
                </c:pt>
              </c:strCache>
            </c:strRef>
          </c:tx>
          <c:spPr>
            <a:ln w="12700">
              <a:solidFill>
                <a:srgbClr val="000080"/>
              </a:solidFill>
              <a:prstDash val="sysDash"/>
            </a:ln>
          </c:spPr>
          <c:marker>
            <c:symbol val="circle"/>
            <c:size val="5"/>
            <c:spPr>
              <a:solidFill>
                <a:srgbClr val="000080"/>
              </a:solidFill>
              <a:ln>
                <a:solidFill>
                  <a:srgbClr val="00008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RT)'!$K$18:$K$26</c:f>
              <c:numCache>
                <c:formatCode>0</c:formatCode>
                <c:ptCount val="9"/>
                <c:pt idx="0">
                  <c:v>0</c:v>
                </c:pt>
                <c:pt idx="1">
                  <c:v>1895.1485821802539</c:v>
                </c:pt>
                <c:pt idx="2">
                  <c:v>9185.0882362373486</c:v>
                </c:pt>
                <c:pt idx="3">
                  <c:v>12986.157947406597</c:v>
                </c:pt>
                <c:pt idx="4">
                  <c:v>14871.01768471079</c:v>
                </c:pt>
                <c:pt idx="5">
                  <c:v>15671.449679903853</c:v>
                </c:pt>
                <c:pt idx="6">
                  <c:v>15884.616358009345</c:v>
                </c:pt>
                <c:pt idx="7">
                  <c:v>15810.352564648056</c:v>
                </c:pt>
                <c:pt idx="8">
                  <c:v>15608.84826701276</c:v>
                </c:pt>
              </c:numCache>
            </c:numRef>
          </c:yVal>
          <c:smooth val="0"/>
          <c:extLst>
            <c:ext xmlns:c16="http://schemas.microsoft.com/office/drawing/2014/chart" uri="{C3380CC4-5D6E-409C-BE32-E72D297353CC}">
              <c16:uniqueId val="{00000004-E131-435E-85BF-D618ED294814}"/>
            </c:ext>
          </c:extLst>
        </c:ser>
        <c:ser>
          <c:idx val="5"/>
          <c:order val="5"/>
          <c:tx>
            <c:strRef>
              <c:f>'Costing (Temp &amp; RT)'!$B$27</c:f>
              <c:strCache>
                <c:ptCount val="1"/>
                <c:pt idx="0">
                  <c:v>19.9</c:v>
                </c:pt>
              </c:strCache>
            </c:strRef>
          </c:tx>
          <c:spPr>
            <a:ln w="12700">
              <a:solidFill>
                <a:srgbClr val="FF00FF"/>
              </a:solidFill>
              <a:prstDash val="sysDash"/>
            </a:ln>
          </c:spPr>
          <c:marker>
            <c:symbol val="plus"/>
            <c:size val="5"/>
            <c:spPr>
              <a:noFill/>
              <a:ln>
                <a:solidFill>
                  <a:srgbClr val="FF00FF"/>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RT)'!$K$27:$K$35</c:f>
              <c:numCache>
                <c:formatCode>0</c:formatCode>
                <c:ptCount val="9"/>
                <c:pt idx="0">
                  <c:v>2503.3052964325698</c:v>
                </c:pt>
                <c:pt idx="1">
                  <c:v>9740.2100339715362</c:v>
                </c:pt>
                <c:pt idx="2">
                  <c:v>13544.787617426729</c:v>
                </c:pt>
                <c:pt idx="3">
                  <c:v>15476.250222063532</c:v>
                </c:pt>
                <c:pt idx="4">
                  <c:v>16331.344131893407</c:v>
                </c:pt>
                <c:pt idx="5">
                  <c:v>16561.765170039311</c:v>
                </c:pt>
                <c:pt idx="6">
                  <c:v>16449.485288795455</c:v>
                </c:pt>
                <c:pt idx="7">
                  <c:v>16168.455341857452</c:v>
                </c:pt>
                <c:pt idx="8">
                  <c:v>15812.526607481421</c:v>
                </c:pt>
              </c:numCache>
            </c:numRef>
          </c:yVal>
          <c:smooth val="0"/>
          <c:extLst>
            <c:ext xmlns:c16="http://schemas.microsoft.com/office/drawing/2014/chart" uri="{C3380CC4-5D6E-409C-BE32-E72D297353CC}">
              <c16:uniqueId val="{00000005-E131-435E-85BF-D618ED294814}"/>
            </c:ext>
          </c:extLst>
        </c:ser>
        <c:dLbls>
          <c:showLegendKey val="0"/>
          <c:showVal val="0"/>
          <c:showCatName val="0"/>
          <c:showSerName val="0"/>
          <c:showPercent val="0"/>
          <c:showBubbleSize val="0"/>
        </c:dLbls>
        <c:axId val="89916544"/>
        <c:axId val="89918080"/>
      </c:scatterChart>
      <c:valAx>
        <c:axId val="10990336"/>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Temperature (</a:t>
                </a:r>
                <a:r>
                  <a:rPr lang="en-US" sz="800" b="1" i="0" strike="noStrike" baseline="30000">
                    <a:solidFill>
                      <a:srgbClr val="000000"/>
                    </a:solidFill>
                    <a:latin typeface="Arial"/>
                    <a:cs typeface="Arial"/>
                  </a:rPr>
                  <a:t>O</a:t>
                </a:r>
                <a:r>
                  <a:rPr lang="en-US" sz="800" b="1" i="0" strike="noStrike">
                    <a:solidFill>
                      <a:srgbClr val="000000"/>
                    </a:solidFill>
                    <a:latin typeface="Arial"/>
                    <a:cs typeface="Arial"/>
                  </a:rPr>
                  <a:t>C)</a:t>
                </a:r>
              </a:p>
            </c:rich>
          </c:tx>
          <c:layout>
            <c:manualLayout>
              <c:xMode val="edge"/>
              <c:yMode val="edge"/>
              <c:x val="0.42110677251409145"/>
              <c:y val="0.93425605536332179"/>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992640"/>
        <c:crosses val="autoZero"/>
        <c:crossBetween val="midCat"/>
      </c:valAx>
      <c:valAx>
        <c:axId val="10992640"/>
        <c:scaling>
          <c:orientation val="minMax"/>
        </c:scaling>
        <c:delete val="0"/>
        <c:axPos val="l"/>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Minimum Gas Cost _____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a:t>
                </a:r>
              </a:p>
            </c:rich>
          </c:tx>
          <c:layout>
            <c:manualLayout>
              <c:xMode val="edge"/>
              <c:yMode val="edge"/>
              <c:x val="1.6393442622950821E-2"/>
              <c:y val="0.34775086505190311"/>
            </c:manualLayout>
          </c:layout>
          <c:overlay val="0"/>
          <c:spPr>
            <a:noFill/>
            <a:ln w="25400">
              <a:noFill/>
            </a:ln>
          </c:spPr>
        </c:title>
        <c:numFmt formatCode="\$#,##0.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990336"/>
        <c:crosses val="autoZero"/>
        <c:crossBetween val="midCat"/>
      </c:valAx>
      <c:valAx>
        <c:axId val="89916544"/>
        <c:scaling>
          <c:orientation val="minMax"/>
        </c:scaling>
        <c:delete val="1"/>
        <c:axPos val="b"/>
        <c:numFmt formatCode="General" sourceLinked="1"/>
        <c:majorTickMark val="out"/>
        <c:minorTickMark val="none"/>
        <c:tickLblPos val="nextTo"/>
        <c:crossAx val="89918080"/>
        <c:crosses val="autoZero"/>
        <c:crossBetween val="midCat"/>
      </c:valAx>
      <c:valAx>
        <c:axId val="8991808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1" i="0" strike="noStrike">
                    <a:solidFill>
                      <a:srgbClr val="000000"/>
                    </a:solidFill>
                    <a:latin typeface="Arial"/>
                    <a:cs typeface="Arial"/>
                  </a:rPr>
                  <a:t>Maximum Gas Production …..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/day)</a:t>
                </a:r>
              </a:p>
            </c:rich>
          </c:tx>
          <c:layout>
            <c:manualLayout>
              <c:xMode val="edge"/>
              <c:yMode val="edge"/>
              <c:x val="0.90368895486424849"/>
              <c:y val="0.3235294117647059"/>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916544"/>
        <c:crosses val="max"/>
        <c:crossBetween val="midCat"/>
      </c:valAx>
      <c:spPr>
        <a:noFill/>
        <a:ln w="12700">
          <a:solidFill>
            <a:srgbClr val="000000"/>
          </a:solidFill>
          <a:prstDash val="solid"/>
        </a:ln>
      </c:spPr>
    </c:plotArea>
    <c:legend>
      <c:legendPos val="r"/>
      <c:layout>
        <c:manualLayout>
          <c:xMode val="edge"/>
          <c:yMode val="edge"/>
          <c:x val="0.91291026633965833"/>
          <c:y val="0.1972318339100346"/>
          <c:w val="7.3770491803278659E-2"/>
          <c:h val="0.198961937716263"/>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verticalDpi="144"/>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Cost of Digester / Gross Gas Production</a:t>
            </a:r>
          </a:p>
        </c:rich>
      </c:tx>
      <c:layout>
        <c:manualLayout>
          <c:xMode val="edge"/>
          <c:yMode val="edge"/>
          <c:x val="0.37178166838311022"/>
          <c:y val="2.7633851468048358E-2"/>
        </c:manualLayout>
      </c:layout>
      <c:overlay val="0"/>
      <c:spPr>
        <a:noFill/>
        <a:ln w="25400">
          <a:noFill/>
        </a:ln>
      </c:spPr>
    </c:title>
    <c:autoTitleDeleted val="0"/>
    <c:plotArea>
      <c:layout>
        <c:manualLayout>
          <c:layoutTarget val="inner"/>
          <c:xMode val="edge"/>
          <c:yMode val="edge"/>
          <c:x val="8.2389289392378939E-2"/>
          <c:y val="0.12089830408419704"/>
          <c:w val="0.76004119464469755"/>
          <c:h val="0.76856779024953825"/>
        </c:manualLayout>
      </c:layout>
      <c:scatterChart>
        <c:scatterStyle val="lineMarker"/>
        <c:varyColors val="0"/>
        <c:ser>
          <c:idx val="3"/>
          <c:order val="0"/>
          <c:tx>
            <c:strRef>
              <c:f>'Costing (Temp &amp; RT)'!$B$9</c:f>
              <c:strCache>
                <c:ptCount val="1"/>
                <c:pt idx="0">
                  <c:v>3.9</c:v>
                </c:pt>
              </c:strCache>
            </c:strRef>
          </c:tx>
          <c:spPr>
            <a:ln w="12700">
              <a:solidFill>
                <a:srgbClr val="FF0000"/>
              </a:solidFill>
              <a:prstDash val="solid"/>
            </a:ln>
          </c:spPr>
          <c:marker>
            <c:symbol val="x"/>
            <c:size val="5"/>
            <c:spPr>
              <a:no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RT)'!$I$9:$I$17</c:f>
              <c:numCache>
                <c:formatCode>_-"$"* #,##0_-;\-"$"* #,##0_-;_-"$"* "-"??_-;_-@_-</c:formatCode>
                <c:ptCount val="9"/>
                <c:pt idx="0">
                  <c:v>950973.40785818058</c:v>
                </c:pt>
                <c:pt idx="1">
                  <c:v>953146.82273325836</c:v>
                </c:pt>
                <c:pt idx="2">
                  <c:v>955320.23760833615</c:v>
                </c:pt>
                <c:pt idx="3">
                  <c:v>957493.65248341393</c:v>
                </c:pt>
                <c:pt idx="4">
                  <c:v>959667.06735849183</c:v>
                </c:pt>
                <c:pt idx="5">
                  <c:v>961840.48223356972</c:v>
                </c:pt>
                <c:pt idx="6">
                  <c:v>964013.89710864751</c:v>
                </c:pt>
                <c:pt idx="7">
                  <c:v>966187.31198372529</c:v>
                </c:pt>
                <c:pt idx="8">
                  <c:v>968360.72685880307</c:v>
                </c:pt>
              </c:numCache>
            </c:numRef>
          </c:yVal>
          <c:smooth val="0"/>
          <c:extLst>
            <c:ext xmlns:c16="http://schemas.microsoft.com/office/drawing/2014/chart" uri="{C3380CC4-5D6E-409C-BE32-E72D297353CC}">
              <c16:uniqueId val="{00000000-4744-414E-860B-EDDF598FEB98}"/>
            </c:ext>
          </c:extLst>
        </c:ser>
        <c:ser>
          <c:idx val="0"/>
          <c:order val="1"/>
          <c:tx>
            <c:strRef>
              <c:f>'Costing (Temp &amp; RT)'!$B$18</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'Costing (Temp &amp; RT)'!$A$18:$A$26</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RT)'!$I$18:$I$26</c:f>
              <c:numCache>
                <c:formatCode>_-"$"* #,##0_-;\-"$"* #,##0_-;_-"$"* "-"??_-;_-@_-</c:formatCode>
                <c:ptCount val="9"/>
                <c:pt idx="0">
                  <c:v>2874228.8600554829</c:v>
                </c:pt>
                <c:pt idx="1">
                  <c:v>2878801.1195596438</c:v>
                </c:pt>
                <c:pt idx="2">
                  <c:v>2883373.3790638051</c:v>
                </c:pt>
                <c:pt idx="3">
                  <c:v>2887945.6385679664</c:v>
                </c:pt>
                <c:pt idx="4">
                  <c:v>2892517.8980721273</c:v>
                </c:pt>
                <c:pt idx="5">
                  <c:v>2897090.1575762886</c:v>
                </c:pt>
                <c:pt idx="6">
                  <c:v>2901662.4170804499</c:v>
                </c:pt>
                <c:pt idx="7">
                  <c:v>2906234.6765846107</c:v>
                </c:pt>
                <c:pt idx="8">
                  <c:v>2910806.936088772</c:v>
                </c:pt>
              </c:numCache>
            </c:numRef>
          </c:yVal>
          <c:smooth val="0"/>
          <c:extLst>
            <c:ext xmlns:c16="http://schemas.microsoft.com/office/drawing/2014/chart" uri="{C3380CC4-5D6E-409C-BE32-E72D297353CC}">
              <c16:uniqueId val="{00000001-4744-414E-860B-EDDF598FEB98}"/>
            </c:ext>
          </c:extLst>
        </c:ser>
        <c:ser>
          <c:idx val="1"/>
          <c:order val="2"/>
          <c:tx>
            <c:strRef>
              <c:f>'Costing (Temp &amp; RT)'!$B$27</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'Costing (Temp &amp; RT)'!$A$27:$A$35</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RT)'!$I$27:$I$35</c:f>
              <c:numCache>
                <c:formatCode>_-"$"* #,##0_-;\-"$"* #,##0_-;_-"$"* "-"??_-;_-@_-</c:formatCode>
                <c:ptCount val="9"/>
                <c:pt idx="0">
                  <c:v>4790425.8118763771</c:v>
                </c:pt>
                <c:pt idx="1">
                  <c:v>4796867.5284813913</c:v>
                </c:pt>
                <c:pt idx="2">
                  <c:v>4803309.2450864054</c:v>
                </c:pt>
                <c:pt idx="3">
                  <c:v>4809750.9616914187</c:v>
                </c:pt>
                <c:pt idx="4">
                  <c:v>4816192.6782964338</c:v>
                </c:pt>
                <c:pt idx="5">
                  <c:v>4822634.394901447</c:v>
                </c:pt>
                <c:pt idx="6">
                  <c:v>4829076.1115064612</c:v>
                </c:pt>
                <c:pt idx="7">
                  <c:v>4835517.8281114753</c:v>
                </c:pt>
                <c:pt idx="8">
                  <c:v>4841959.5447164886</c:v>
                </c:pt>
              </c:numCache>
            </c:numRef>
          </c:yVal>
          <c:smooth val="0"/>
          <c:extLst>
            <c:ext xmlns:c16="http://schemas.microsoft.com/office/drawing/2014/chart" uri="{C3380CC4-5D6E-409C-BE32-E72D297353CC}">
              <c16:uniqueId val="{00000002-4744-414E-860B-EDDF598FEB98}"/>
            </c:ext>
          </c:extLst>
        </c:ser>
        <c:dLbls>
          <c:showLegendKey val="0"/>
          <c:showVal val="0"/>
          <c:showCatName val="0"/>
          <c:showSerName val="0"/>
          <c:showPercent val="0"/>
          <c:showBubbleSize val="0"/>
        </c:dLbls>
        <c:axId val="89988480"/>
        <c:axId val="90015616"/>
      </c:scatterChart>
      <c:scatterChart>
        <c:scatterStyle val="lineMarker"/>
        <c:varyColors val="0"/>
        <c:ser>
          <c:idx val="2"/>
          <c:order val="3"/>
          <c:tx>
            <c:strRef>
              <c:f>'Costing (Temp &amp; RT)'!$B$9</c:f>
              <c:strCache>
                <c:ptCount val="1"/>
                <c:pt idx="0">
                  <c:v>3.9</c:v>
                </c:pt>
              </c:strCache>
            </c:strRef>
          </c:tx>
          <c:spPr>
            <a:ln w="12700">
              <a:solidFill>
                <a:srgbClr val="FF0000"/>
              </a:solidFill>
              <a:prstDash val="sysDash"/>
            </a:ln>
          </c:spPr>
          <c:marker>
            <c:symbol val="triangle"/>
            <c:size val="5"/>
            <c:spPr>
              <a:solidFill>
                <a:srgbClr val="FF0000"/>
              </a:solid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RT)'!$J$9:$J$17</c:f>
              <c:numCache>
                <c:formatCode>0</c:formatCode>
                <c:ptCount val="9"/>
                <c:pt idx="0">
                  <c:v>0</c:v>
                </c:pt>
                <c:pt idx="1">
                  <c:v>0</c:v>
                </c:pt>
                <c:pt idx="2">
                  <c:v>0</c:v>
                </c:pt>
                <c:pt idx="3">
                  <c:v>0</c:v>
                </c:pt>
                <c:pt idx="4">
                  <c:v>5396.4662102016391</c:v>
                </c:pt>
                <c:pt idx="5">
                  <c:v>9111.8186182368318</c:v>
                </c:pt>
                <c:pt idx="6">
                  <c:v>10788.490334528409</c:v>
                </c:pt>
                <c:pt idx="7">
                  <c:v>11499.348863933255</c:v>
                </c:pt>
                <c:pt idx="8">
                  <c:v>11788.616068224852</c:v>
                </c:pt>
              </c:numCache>
            </c:numRef>
          </c:yVal>
          <c:smooth val="0"/>
          <c:extLst>
            <c:ext xmlns:c16="http://schemas.microsoft.com/office/drawing/2014/chart" uri="{C3380CC4-5D6E-409C-BE32-E72D297353CC}">
              <c16:uniqueId val="{00000003-4744-414E-860B-EDDF598FEB98}"/>
            </c:ext>
          </c:extLst>
        </c:ser>
        <c:ser>
          <c:idx val="4"/>
          <c:order val="4"/>
          <c:tx>
            <c:strRef>
              <c:f>'Costing (Temp &amp; RT)'!$B$18</c:f>
              <c:strCache>
                <c:ptCount val="1"/>
                <c:pt idx="0">
                  <c:v>11.9</c:v>
                </c:pt>
              </c:strCache>
            </c:strRef>
          </c:tx>
          <c:spPr>
            <a:ln w="12700">
              <a:solidFill>
                <a:srgbClr val="000080"/>
              </a:solidFill>
              <a:prstDash val="sysDash"/>
            </a:ln>
          </c:spPr>
          <c:marker>
            <c:symbol val="circle"/>
            <c:size val="5"/>
            <c:spPr>
              <a:solidFill>
                <a:srgbClr val="000080"/>
              </a:solidFill>
              <a:ln>
                <a:solidFill>
                  <a:srgbClr val="00008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RT)'!$J$18:$J$26</c:f>
              <c:numCache>
                <c:formatCode>0</c:formatCode>
                <c:ptCount val="9"/>
                <c:pt idx="0">
                  <c:v>0</c:v>
                </c:pt>
                <c:pt idx="1">
                  <c:v>2184.557535410675</c:v>
                </c:pt>
                <c:pt idx="2">
                  <c:v>9763.9061426981916</c:v>
                </c:pt>
                <c:pt idx="3">
                  <c:v>13854.38480709786</c:v>
                </c:pt>
                <c:pt idx="4">
                  <c:v>16028.653497632475</c:v>
                </c:pt>
                <c:pt idx="5">
                  <c:v>17118.49444605596</c:v>
                </c:pt>
                <c:pt idx="6">
                  <c:v>17621.070077391872</c:v>
                </c:pt>
                <c:pt idx="7">
                  <c:v>17836.215237261003</c:v>
                </c:pt>
                <c:pt idx="8">
                  <c:v>17924.119892856128</c:v>
                </c:pt>
              </c:numCache>
            </c:numRef>
          </c:yVal>
          <c:smooth val="0"/>
          <c:extLst>
            <c:ext xmlns:c16="http://schemas.microsoft.com/office/drawing/2014/chart" uri="{C3380CC4-5D6E-409C-BE32-E72D297353CC}">
              <c16:uniqueId val="{00000004-4744-414E-860B-EDDF598FEB98}"/>
            </c:ext>
          </c:extLst>
        </c:ser>
        <c:ser>
          <c:idx val="5"/>
          <c:order val="5"/>
          <c:tx>
            <c:strRef>
              <c:f>'Costing (Temp &amp; RT)'!$B$27</c:f>
              <c:strCache>
                <c:ptCount val="1"/>
                <c:pt idx="0">
                  <c:v>19.9</c:v>
                </c:pt>
              </c:strCache>
            </c:strRef>
          </c:tx>
          <c:spPr>
            <a:ln w="12700">
              <a:solidFill>
                <a:srgbClr val="FF00FF"/>
              </a:solidFill>
              <a:prstDash val="sysDash"/>
            </a:ln>
          </c:spPr>
          <c:marker>
            <c:symbol val="plus"/>
            <c:size val="5"/>
            <c:spPr>
              <a:noFill/>
              <a:ln>
                <a:solidFill>
                  <a:srgbClr val="FF00FF"/>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RT)'!$J$27:$J$35</c:f>
              <c:numCache>
                <c:formatCode>0</c:formatCode>
                <c:ptCount val="9"/>
                <c:pt idx="0">
                  <c:v>2503.3052964325698</c:v>
                </c:pt>
                <c:pt idx="1">
                  <c:v>10147.949458640554</c:v>
                </c:pt>
                <c:pt idx="2">
                  <c:v>14360.266466764766</c:v>
                </c:pt>
                <c:pt idx="3">
                  <c:v>16699.468496070589</c:v>
                </c:pt>
                <c:pt idx="4">
                  <c:v>17962.301830569482</c:v>
                </c:pt>
                <c:pt idx="5">
                  <c:v>18600.462293384408</c:v>
                </c:pt>
                <c:pt idx="6">
                  <c:v>18895.921836809568</c:v>
                </c:pt>
                <c:pt idx="7">
                  <c:v>19022.631314540584</c:v>
                </c:pt>
                <c:pt idx="8">
                  <c:v>19074.442004833571</c:v>
                </c:pt>
              </c:numCache>
            </c:numRef>
          </c:yVal>
          <c:smooth val="0"/>
          <c:extLst>
            <c:ext xmlns:c16="http://schemas.microsoft.com/office/drawing/2014/chart" uri="{C3380CC4-5D6E-409C-BE32-E72D297353CC}">
              <c16:uniqueId val="{00000005-4744-414E-860B-EDDF598FEB98}"/>
            </c:ext>
          </c:extLst>
        </c:ser>
        <c:dLbls>
          <c:showLegendKey val="0"/>
          <c:showVal val="0"/>
          <c:showCatName val="0"/>
          <c:showSerName val="0"/>
          <c:showPercent val="0"/>
          <c:showBubbleSize val="0"/>
        </c:dLbls>
        <c:axId val="90025984"/>
        <c:axId val="90027520"/>
      </c:scatterChart>
      <c:valAx>
        <c:axId val="8998848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Temperature (</a:t>
                </a:r>
                <a:r>
                  <a:rPr lang="en-US" sz="800" b="1" i="0" strike="noStrike" baseline="30000">
                    <a:solidFill>
                      <a:srgbClr val="000000"/>
                    </a:solidFill>
                    <a:latin typeface="Arial"/>
                    <a:cs typeface="Arial"/>
                  </a:rPr>
                  <a:t>O</a:t>
                </a:r>
                <a:r>
                  <a:rPr lang="en-US" sz="800" b="1" i="0" strike="noStrike">
                    <a:solidFill>
                      <a:srgbClr val="000000"/>
                    </a:solidFill>
                    <a:latin typeface="Arial"/>
                    <a:cs typeface="Arial"/>
                  </a:rPr>
                  <a:t>C)</a:t>
                </a:r>
              </a:p>
            </c:rich>
          </c:tx>
          <c:layout>
            <c:manualLayout>
              <c:xMode val="edge"/>
              <c:yMode val="edge"/>
              <c:x val="0.41091658084449023"/>
              <c:y val="0.93609835040050049"/>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015616"/>
        <c:crosses val="autoZero"/>
        <c:crossBetween val="midCat"/>
      </c:valAx>
      <c:valAx>
        <c:axId val="90015616"/>
        <c:scaling>
          <c:orientation val="minMax"/>
        </c:scaling>
        <c:delete val="0"/>
        <c:axPos val="l"/>
        <c:title>
          <c:tx>
            <c:rich>
              <a:bodyPr/>
              <a:lstStyle/>
              <a:p>
                <a:pPr>
                  <a:defRPr sz="800" b="1" i="0" u="none" strike="noStrike" baseline="0">
                    <a:solidFill>
                      <a:srgbClr val="000000"/>
                    </a:solidFill>
                    <a:latin typeface="Arial"/>
                    <a:ea typeface="Arial"/>
                    <a:cs typeface="Arial"/>
                  </a:defRPr>
                </a:pPr>
                <a:r>
                  <a:rPr lang="en-US"/>
                  <a:t>Digester Cost _____  ($)</a:t>
                </a:r>
              </a:p>
            </c:rich>
          </c:tx>
          <c:layout>
            <c:manualLayout>
              <c:xMode val="edge"/>
              <c:yMode val="edge"/>
              <c:x val="1.6477857878475798E-2"/>
              <c:y val="0.39032887728412186"/>
            </c:manualLayout>
          </c:layout>
          <c:overlay val="0"/>
          <c:spPr>
            <a:noFill/>
            <a:ln w="25400">
              <a:noFill/>
            </a:ln>
          </c:spPr>
        </c:title>
        <c:numFmt formatCode="\$#,##0;[Red]\$#,##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988480"/>
        <c:crosses val="autoZero"/>
        <c:crossBetween val="midCat"/>
      </c:valAx>
      <c:valAx>
        <c:axId val="90025984"/>
        <c:scaling>
          <c:orientation val="minMax"/>
        </c:scaling>
        <c:delete val="1"/>
        <c:axPos val="b"/>
        <c:numFmt formatCode="General" sourceLinked="1"/>
        <c:majorTickMark val="out"/>
        <c:minorTickMark val="none"/>
        <c:tickLblPos val="nextTo"/>
        <c:crossAx val="90027520"/>
        <c:crosses val="autoZero"/>
        <c:crossBetween val="midCat"/>
      </c:valAx>
      <c:valAx>
        <c:axId val="9002752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1" i="0" strike="noStrike">
                    <a:solidFill>
                      <a:srgbClr val="000000"/>
                    </a:solidFill>
                    <a:latin typeface="Arial"/>
                    <a:cs typeface="Arial"/>
                  </a:rPr>
                  <a:t>Gross Gas Production …..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/day)</a:t>
                </a:r>
              </a:p>
            </c:rich>
          </c:tx>
          <c:layout>
            <c:manualLayout>
              <c:xMode val="edge"/>
              <c:yMode val="edge"/>
              <c:x val="0.86611740473738419"/>
              <c:y val="0.34542368732405854"/>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025984"/>
        <c:crosses val="max"/>
        <c:crossBetween val="midCat"/>
      </c:valAx>
      <c:spPr>
        <a:noFill/>
        <a:ln w="12700">
          <a:solidFill>
            <a:srgbClr val="000000"/>
          </a:solidFill>
          <a:prstDash val="solid"/>
        </a:ln>
      </c:spPr>
    </c:plotArea>
    <c:legend>
      <c:legendPos val="r"/>
      <c:layout>
        <c:manualLayout>
          <c:xMode val="edge"/>
          <c:yMode val="edge"/>
          <c:x val="0.90834191555097832"/>
          <c:y val="0.19689155435881395"/>
          <c:w val="7.4150360453141051E-2"/>
          <c:h val="0.1986186700755669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15" dropStyle="combo" dx="16" fmlaLink="$T$20" fmlaRange="$T$22:$T$36" noThreeD="1" sel="13" val="0"/>
</file>

<file path=xl/ctrlProps/ctrlProp2.xml><?xml version="1.0" encoding="utf-8"?>
<formControlPr xmlns="http://schemas.microsoft.com/office/spreadsheetml/2009/9/main" objectType="Drop" dropStyle="combo" dx="16" fmlaLink="'Temp&amp;RT'!D3" fmlaRange="'Temp&amp;RT'!C6:C19" noThreeD="1" sel="8" val="4"/>
</file>

<file path=xl/ctrlProps/ctrlProp3.xml><?xml version="1.0" encoding="utf-8"?>
<formControlPr xmlns="http://schemas.microsoft.com/office/spreadsheetml/2009/9/main" objectType="Drop" dropStyle="combo" dx="16" fmlaLink="D4" fmlaRange="E6:E12" noThreeD="1" sel="5" val="0"/>
</file>

<file path=xl/ctrlProps/ctrlProp4.xml><?xml version="1.0" encoding="utf-8"?>
<formControlPr xmlns="http://schemas.microsoft.com/office/spreadsheetml/2009/9/main" objectType="Drop" dropStyle="combo" dx="16" fmlaLink="F4" fmlaRange="E6:E12" noThreeD="1" sel="4" val="0"/>
</file>

<file path=xl/ctrlProps/ctrlProp5.xml><?xml version="1.0" encoding="utf-8"?>
<formControlPr xmlns="http://schemas.microsoft.com/office/spreadsheetml/2009/9/main" objectType="Drop" dropStyle="combo" dx="16" fmlaLink="'Temp&amp;RT'!B4" fmlaRange="'Temp&amp;RT'!E6:E12" noThreeD="1" sel="5" val="0"/>
</file>

<file path=xl/ctrlProps/ctrlProp6.xml><?xml version="1.0" encoding="utf-8"?>
<formControlPr xmlns="http://schemas.microsoft.com/office/spreadsheetml/2009/9/main" objectType="Drop" dropStyle="combo" dx="16" fmlaLink="'Temp&amp;RT'!D3" fmlaRange="'Temp&amp;RT'!C6:C19" noThreeD="1" sel="8" val="0"/>
</file>

<file path=xl/ctrlProps/ctrlProp7.xml><?xml version="1.0" encoding="utf-8"?>
<formControlPr xmlns="http://schemas.microsoft.com/office/spreadsheetml/2009/9/main" objectType="Drop" dropStyle="combo" dx="16" fmlaLink="'Temp&amp;RT'!D3" fmlaRange="'Temp&amp;RT'!C6:C19" noThreeD="1" sel="8" val="6"/>
</file>

<file path=xl/ctrlProps/ctrlProp8.xml><?xml version="1.0" encoding="utf-8"?>
<formControlPr xmlns="http://schemas.microsoft.com/office/spreadsheetml/2009/9/main" objectType="Drop" dropStyle="combo" dx="16" fmlaLink="'Temp&amp;RT'!B4" fmlaRange="'Temp&amp;RT'!E6:E12" noThreeD="1" sel="5" val="0"/>
</file>

<file path=xl/ctrlProps/ctrlProp9.xml><?xml version="1.0" encoding="utf-8"?>
<formControlPr xmlns="http://schemas.microsoft.com/office/spreadsheetml/2009/9/main" objectType="Drop" dropStyle="combo" dx="16" fmlaLink="'Temp&amp;RT'!F4" fmlaRange="'Temp&amp;RT'!E6:E12" noThreeD="1" sel="4" val="0"/>
</file>

<file path=xl/ctrlProps/ctrlProp10.xml><?xml version="1.0" encoding="utf-8"?>
<formControlPr xmlns="http://schemas.microsoft.com/office/spreadsheetml/2009/9/main" objectType="Drop" dropStyle="combo" dx="16" fmlaLink="'Temp&amp;RT'!D4" fmlaRange="'Temp&amp;RT'!E6:E12" noThreeD="1" sel="5" val="0"/>
</file>

<file path=xl/ctrlProps/ctrlProp11.xml><?xml version="1.0" encoding="utf-8"?>
<formControlPr xmlns="http://schemas.microsoft.com/office/spreadsheetml/2009/9/main" objectType="Drop" dropStyle="combo" dx="16" fmlaLink="'Temp&amp;RT'!D3" fmlaRange="'Temp&amp;RT'!C6:C19" noThreeD="1" sel="8" val="3"/>
</file>

<file path=xl/ctrlProps/ctrlProp12.xml><?xml version="1.0" encoding="utf-8"?>
<formControlPr xmlns="http://schemas.microsoft.com/office/spreadsheetml/2009/9/main" objectType="Drop" dropStyle="combo" dx="16" fmlaLink="'Temp&amp;RT'!D4" fmlaRange="'Temp&amp;RT'!E6:E12" noThreeD="1" sel="5" val="0"/>
</file>

<file path=xl/ctrlProps/ctrlProp13.xml><?xml version="1.0" encoding="utf-8"?>
<formControlPr xmlns="http://schemas.microsoft.com/office/spreadsheetml/2009/9/main" objectType="Drop" dropStyle="combo" dx="16" fmlaLink="'Temp&amp;RT'!B4" fmlaRange="'Temp&amp;RT'!E6:E12" noThreeD="1" sel="5" val="0"/>
</file>

<file path=xl/ctrlProps/ctrlProp14.xml><?xml version="1.0" encoding="utf-8"?>
<formControlPr xmlns="http://schemas.microsoft.com/office/spreadsheetml/2009/9/main" objectType="Drop" dropStyle="combo" dx="16" fmlaLink="'Temp&amp;RT'!$F$4" fmlaRange="'Temp&amp;RT'!$E$6:$E$12" noThreeD="1" sel="4" val="0"/>
</file>

<file path=xl/ctrlProps/ctrlProp15.xml><?xml version="1.0" encoding="utf-8"?>
<formControlPr xmlns="http://schemas.microsoft.com/office/spreadsheetml/2009/9/main" objectType="Drop" dropStyle="combo" dx="16" fmlaLink="'Temp&amp;RT'!D3" fmlaRange="'Temp&amp;RT'!C6:C19" noThreeD="1" sel="8" val="5"/>
</file>

<file path=xl/ctrlProps/ctrlProp16.xml><?xml version="1.0" encoding="utf-8"?>
<formControlPr xmlns="http://schemas.microsoft.com/office/spreadsheetml/2009/9/main" objectType="Drop" dropStyle="combo" dx="16" fmlaLink="'Temp&amp;RT'!B4" fmlaRange="'Temp&amp;RT'!E6:E12" noThreeD="1" sel="5" val="0"/>
</file>

<file path=xl/ctrlProps/ctrlProp17.xml><?xml version="1.0" encoding="utf-8"?>
<formControlPr xmlns="http://schemas.microsoft.com/office/spreadsheetml/2009/9/main" objectType="Drop" dropStyle="combo" dx="16" fmlaLink="'Temp&amp;RT'!F4" fmlaRange="'Temp&amp;RT'!E6:E12" noThreeD="1" sel="4" val="0"/>
</file>

<file path=xl/ctrlProps/ctrlProp18.xml><?xml version="1.0" encoding="utf-8"?>
<formControlPr xmlns="http://schemas.microsoft.com/office/spreadsheetml/2009/9/main" objectType="Drop" dropStyle="combo" dx="16" fmlaLink="'Temp&amp;RT'!D4" fmlaRange="'Temp&amp;RT'!E6:E12" noThreeD="1" sel="5"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1</xdr:col>
          <xdr:colOff>1038225</xdr:colOff>
          <xdr:row>3</xdr:row>
          <xdr:rowOff>152400</xdr:rowOff>
        </xdr:to>
        <xdr:sp macro="" textlink="">
          <xdr:nvSpPr>
            <xdr:cNvPr id="116737" name="Drop Down 1" hidden="1">
              <a:extLst>
                <a:ext uri="{63B3BB69-23CF-44E3-9099-C40C66FF867C}">
                  <a14:compatExt spid="_x0000_s11673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390525</xdr:colOff>
          <xdr:row>45</xdr:row>
          <xdr:rowOff>171450</xdr:rowOff>
        </xdr:from>
        <xdr:to>
          <xdr:col>1</xdr:col>
          <xdr:colOff>923925</xdr:colOff>
          <xdr:row>47</xdr:row>
          <xdr:rowOff>0</xdr:rowOff>
        </xdr:to>
        <xdr:sp macro="" textlink="">
          <xdr:nvSpPr>
            <xdr:cNvPr id="116739" name="Drop Down 3" hidden="1">
              <a:extLst>
                <a:ext uri="{63B3BB69-23CF-44E3-9099-C40C66FF867C}">
                  <a14:compatExt spid="_x0000_s11673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43</xdr:row>
          <xdr:rowOff>0</xdr:rowOff>
        </xdr:from>
        <xdr:to>
          <xdr:col>3</xdr:col>
          <xdr:colOff>0</xdr:colOff>
          <xdr:row>44</xdr:row>
          <xdr:rowOff>19050</xdr:rowOff>
        </xdr:to>
        <xdr:sp macro="" textlink="">
          <xdr:nvSpPr>
            <xdr:cNvPr id="116741" name="ListBox1" hidden="1">
              <a:extLst>
                <a:ext uri="{63B3BB69-23CF-44E3-9099-C40C66FF867C}">
                  <a14:compatExt spid="_x0000_s11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976311</xdr:colOff>
      <xdr:row>15</xdr:row>
      <xdr:rowOff>117475</xdr:rowOff>
    </xdr:from>
    <xdr:to>
      <xdr:col>6</xdr:col>
      <xdr:colOff>584199</xdr:colOff>
      <xdr:row>36</xdr:row>
      <xdr:rowOff>127000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3</xdr:row>
      <xdr:rowOff>9525</xdr:rowOff>
    </xdr:from>
    <xdr:to>
      <xdr:col>7</xdr:col>
      <xdr:colOff>504825</xdr:colOff>
      <xdr:row>32</xdr:row>
      <xdr:rowOff>38100</xdr:rowOff>
    </xdr:to>
    <xdr:graphicFrame macro="">
      <xdr:nvGraphicFramePr>
        <xdr:cNvPr id="12187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523875</xdr:colOff>
      <xdr:row>3</xdr:row>
      <xdr:rowOff>0</xdr:rowOff>
    </xdr:from>
    <xdr:to>
      <xdr:col>16</xdr:col>
      <xdr:colOff>9525</xdr:colOff>
      <xdr:row>32</xdr:row>
      <xdr:rowOff>38100</xdr:rowOff>
    </xdr:to>
    <xdr:graphicFrame macro="">
      <xdr:nvGraphicFramePr>
        <xdr:cNvPr id="12187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16</xdr:col>
      <xdr:colOff>0</xdr:colOff>
      <xdr:row>3</xdr:row>
      <xdr:rowOff>0</xdr:rowOff>
    </xdr:from>
    <xdr:to>
      <xdr:col>24</xdr:col>
      <xdr:colOff>38100</xdr:colOff>
      <xdr:row>32</xdr:row>
      <xdr:rowOff>28575</xdr:rowOff>
    </xdr:to>
    <xdr:graphicFrame macro="">
      <xdr:nvGraphicFramePr>
        <xdr:cNvPr id="12187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0.14714</cdr:x>
      <cdr:y>0.85912</cdr:y>
    </cdr:from>
    <cdr:to>
      <cdr:x>0.79971</cdr:x>
      <cdr:y>0.90157</cdr:y>
    </cdr:to>
    <cdr:sp macro="" textlink="">
      <cdr:nvSpPr>
        <cdr:cNvPr id="118785" name="Text Box 1"/>
        <cdr:cNvSpPr txBox="1">
          <a:spLocks xmlns:a="http://schemas.openxmlformats.org/drawingml/2006/main" noChangeArrowheads="1"/>
        </cdr:cNvSpPr>
      </cdr:nvSpPr>
      <cdr:spPr bwMode="auto">
        <a:xfrm xmlns:a="http://schemas.openxmlformats.org/drawingml/2006/main">
          <a:off x="720749" y="4177482"/>
          <a:ext cx="3196407" cy="20639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200" b="0" i="0" u="none" strike="noStrike" baseline="0">
              <a:solidFill>
                <a:srgbClr val="000000"/>
              </a:solidFill>
              <a:latin typeface="Times New Roman" panose="02020603050405020304" pitchFamily="18" charset="0"/>
              <a:cs typeface="Times New Roman" panose="02020603050405020304" pitchFamily="18" charset="0"/>
            </a:rPr>
            <a:t>Cubic Metres of gas per Cubic Metre of Digester</a:t>
          </a:r>
        </a:p>
      </cdr:txBody>
    </cdr:sp>
  </cdr:relSizeAnchor>
</c:userShapes>
</file>

<file path=xl/drawings/drawing5.xml><?xml version="1.0" encoding="utf-8"?>
<c:userShapes xmlns:c="http://schemas.openxmlformats.org/drawingml/2006/chart">
  <cdr:relSizeAnchor xmlns:cdr="http://schemas.openxmlformats.org/drawingml/2006/chartDrawing">
    <cdr:from>
      <cdr:x>0.19666</cdr:x>
      <cdr:y>0.85154</cdr:y>
    </cdr:from>
    <cdr:to>
      <cdr:x>0.79501</cdr:x>
      <cdr:y>0.89392</cdr:y>
    </cdr:to>
    <cdr:sp macro="" textlink="">
      <cdr:nvSpPr>
        <cdr:cNvPr id="119809" name="Text Box 1"/>
        <cdr:cNvSpPr txBox="1">
          <a:spLocks xmlns:a="http://schemas.openxmlformats.org/drawingml/2006/main" noChangeArrowheads="1"/>
        </cdr:cNvSpPr>
      </cdr:nvSpPr>
      <cdr:spPr bwMode="auto">
        <a:xfrm xmlns:a="http://schemas.openxmlformats.org/drawingml/2006/main">
          <a:off x="948662" y="4005256"/>
          <a:ext cx="3042959" cy="2114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Influent</a:t>
          </a:r>
        </a:p>
      </cdr:txBody>
    </cdr:sp>
  </cdr:relSizeAnchor>
</c:userShapes>
</file>

<file path=xl/drawings/drawing6.xml><?xml version="1.0" encoding="utf-8"?>
<c:userShapes xmlns:c="http://schemas.openxmlformats.org/drawingml/2006/chart">
  <cdr:relSizeAnchor xmlns:cdr="http://schemas.openxmlformats.org/drawingml/2006/chartDrawing">
    <cdr:from>
      <cdr:x>0.25268</cdr:x>
      <cdr:y>0.85504</cdr:y>
    </cdr:from>
    <cdr:to>
      <cdr:x>0.72378</cdr:x>
      <cdr:y>0.89422</cdr:y>
    </cdr:to>
    <cdr:sp macro="" textlink="">
      <cdr:nvSpPr>
        <cdr:cNvPr id="118785" name="Text Box 1"/>
        <cdr:cNvSpPr txBox="1">
          <a:spLocks xmlns:a="http://schemas.openxmlformats.org/drawingml/2006/main" noChangeArrowheads="1"/>
        </cdr:cNvSpPr>
      </cdr:nvSpPr>
      <cdr:spPr bwMode="auto">
        <a:xfrm xmlns:a="http://schemas.openxmlformats.org/drawingml/2006/main">
          <a:off x="1220231" y="3990975"/>
          <a:ext cx="2361170" cy="19900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ctr" rtl="0">
            <a:defRPr sz="1000"/>
          </a:pPr>
          <a:r>
            <a:rPr lang="en-AU" sz="1050" b="0" i="0" u="none" strike="noStrike" baseline="0">
              <a:solidFill>
                <a:srgbClr val="000000"/>
              </a:solidFill>
              <a:latin typeface="Times New Roman" panose="02020603050405020304" pitchFamily="18" charset="0"/>
              <a:cs typeface="Times New Roman" panose="02020603050405020304" pitchFamily="18" charset="0"/>
            </a:rPr>
            <a:t>Cubic Metres of gas per kg VS added</a:t>
          </a:r>
        </a:p>
      </cdr:txBody>
    </cdr:sp>
  </cdr:relSizeAnchor>
</c:userShapes>
</file>

<file path=xl/drawings/drawing7.xml><?xml version="1.0" encoding="utf-8"?>
<xdr:wsDr xmlns:xdr="http://schemas.openxmlformats.org/drawingml/2006/spreadsheetDrawing" xmlns:a="http://schemas.openxmlformats.org/drawingml/2006/main">
  <xdr:twoCellAnchor editAs="absolute">
    <xdr:from>
      <xdr:col>0</xdr:col>
      <xdr:colOff>0</xdr:colOff>
      <xdr:row>3</xdr:row>
      <xdr:rowOff>9525</xdr:rowOff>
    </xdr:from>
    <xdr:to>
      <xdr:col>7</xdr:col>
      <xdr:colOff>504825</xdr:colOff>
      <xdr:row>32</xdr:row>
      <xdr:rowOff>38100</xdr:rowOff>
    </xdr:to>
    <xdr:graphicFrame macro="">
      <xdr:nvGraphicFramePr>
        <xdr:cNvPr id="12596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523875</xdr:colOff>
      <xdr:row>3</xdr:row>
      <xdr:rowOff>0</xdr:rowOff>
    </xdr:from>
    <xdr:to>
      <xdr:col>16</xdr:col>
      <xdr:colOff>9525</xdr:colOff>
      <xdr:row>32</xdr:row>
      <xdr:rowOff>38100</xdr:rowOff>
    </xdr:to>
    <xdr:graphicFrame macro="">
      <xdr:nvGraphicFramePr>
        <xdr:cNvPr id="12596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0.19207</cdr:x>
      <cdr:y>0.84933</cdr:y>
    </cdr:from>
    <cdr:to>
      <cdr:x>0.80425</cdr:x>
      <cdr:y>0.89293</cdr:y>
    </cdr:to>
    <cdr:sp macro="" textlink="">
      <cdr:nvSpPr>
        <cdr:cNvPr id="128001" name="Text Box 1"/>
        <cdr:cNvSpPr txBox="1">
          <a:spLocks xmlns:a="http://schemas.openxmlformats.org/drawingml/2006/main" noChangeArrowheads="1"/>
        </cdr:cNvSpPr>
      </cdr:nvSpPr>
      <cdr:spPr bwMode="auto">
        <a:xfrm xmlns:a="http://schemas.openxmlformats.org/drawingml/2006/main">
          <a:off x="949027" y="4023825"/>
          <a:ext cx="3014612" cy="20642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Digester</a:t>
          </a:r>
        </a:p>
      </cdr:txBody>
    </cdr:sp>
  </cdr:relSizeAnchor>
</c:userShapes>
</file>

<file path=xl/drawings/drawing9.xml><?xml version="1.0" encoding="utf-8"?>
<c:userShapes xmlns:c="http://schemas.openxmlformats.org/drawingml/2006/chart">
  <cdr:relSizeAnchor xmlns:cdr="http://schemas.openxmlformats.org/drawingml/2006/chartDrawing">
    <cdr:from>
      <cdr:x>0.1898</cdr:x>
      <cdr:y>0.84371</cdr:y>
    </cdr:from>
    <cdr:to>
      <cdr:x>0.80064</cdr:x>
      <cdr:y>0.88829</cdr:y>
    </cdr:to>
    <cdr:sp macro="" textlink="">
      <cdr:nvSpPr>
        <cdr:cNvPr id="129025" name="Text Box 1"/>
        <cdr:cNvSpPr txBox="1">
          <a:spLocks xmlns:a="http://schemas.openxmlformats.org/drawingml/2006/main" noChangeArrowheads="1"/>
        </cdr:cNvSpPr>
      </cdr:nvSpPr>
      <cdr:spPr bwMode="auto">
        <a:xfrm xmlns:a="http://schemas.openxmlformats.org/drawingml/2006/main">
          <a:off x="948662" y="4005256"/>
          <a:ext cx="3042959" cy="2114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Influent</a:t>
          </a:r>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28575</xdr:colOff>
      <xdr:row>4</xdr:row>
      <xdr:rowOff>0</xdr:rowOff>
    </xdr:from>
    <xdr:to>
      <xdr:col>8</xdr:col>
      <xdr:colOff>533400</xdr:colOff>
      <xdr:row>24</xdr:row>
      <xdr:rowOff>0</xdr:rowOff>
    </xdr:to>
    <xdr:graphicFrame macro="">
      <xdr:nvGraphicFramePr>
        <xdr:cNvPr id="207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533400</xdr:colOff>
      <xdr:row>4</xdr:row>
      <xdr:rowOff>0</xdr:rowOff>
    </xdr:from>
    <xdr:to>
      <xdr:col>16</xdr:col>
      <xdr:colOff>600075</xdr:colOff>
      <xdr:row>24</xdr:row>
      <xdr:rowOff>0</xdr:rowOff>
    </xdr:to>
    <xdr:graphicFrame macro="">
      <xdr:nvGraphicFramePr>
        <xdr:cNvPr id="2071"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xdr:row>
          <xdr:rowOff>180975</xdr:rowOff>
        </xdr:from>
        <xdr:to>
          <xdr:col>1</xdr:col>
          <xdr:colOff>581025</xdr:colOff>
          <xdr:row>3</xdr:row>
          <xdr:rowOff>180975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2059" name="Drop Down 11" hidden="1">
              <a:extLst>
                <a:ext uri="{63B3BB69-23CF-44E3-9099-C40C66FF867C}">
                  <a14:compatExt spid="_x0000_s205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0.85317</cdr:x>
      <cdr:y>0.27811</cdr:y>
    </cdr:from>
    <cdr:to>
      <cdr:x>0.98403</cdr:x>
      <cdr:y>0.40656</cdr:y>
    </cdr:to>
    <cdr:sp macro="" textlink="">
      <cdr:nvSpPr>
        <cdr:cNvPr id="3073" name="Text 1"/>
        <cdr:cNvSpPr txBox="1">
          <a:spLocks xmlns:a="http://schemas.openxmlformats.org/drawingml/2006/main" noChangeArrowheads="1"/>
        </cdr:cNvSpPr>
      </cdr:nvSpPr>
      <cdr:spPr bwMode="auto">
        <a:xfrm xmlns:a="http://schemas.openxmlformats.org/drawingml/2006/main">
          <a:off x="4692656" y="789338"/>
          <a:ext cx="619621" cy="533607"/>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Retention</a:t>
          </a:r>
          <a:r>
            <a:rPr lang="en-AU" sz="800" b="0" i="0" u="none" strike="noStrike" baseline="0">
              <a:solidFill>
                <a:srgbClr val="000000"/>
              </a:solidFill>
              <a:latin typeface="Arial"/>
              <a:cs typeface="Arial"/>
            </a:rPr>
            <a:t> Time </a:t>
          </a:r>
          <a:r>
            <a:rPr lang="en-AU" sz="800" b="0" i="0" u="none" strike="noStrike" baseline="0">
              <a:solidFill>
                <a:srgbClr val="000000"/>
              </a:solidFill>
              <a:latin typeface="Times New Roman" panose="02020603050405020304" pitchFamily="18" charset="0"/>
              <a:cs typeface="Times New Roman" panose="02020603050405020304" pitchFamily="18" charset="0"/>
            </a:rPr>
            <a:t>(days</a:t>
          </a:r>
          <a:r>
            <a:rPr lang="en-AU" sz="800" b="0" i="0" u="none" strike="noStrike" baseline="0">
              <a:solidFill>
                <a:srgbClr val="000000"/>
              </a:solidFill>
              <a:latin typeface="Arial"/>
              <a:cs typeface="Arial"/>
            </a:rPr>
            <a:t>)</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0.37547</cdr:x>
      <cdr:y>0.0969</cdr:y>
    </cdr:from>
    <cdr:to>
      <cdr:x>0.62945</cdr:x>
      <cdr:y>0.2463</cdr:y>
    </cdr:to>
    <cdr:sp macro="" textlink="">
      <cdr:nvSpPr>
        <cdr:cNvPr id="3074" name="Text 2"/>
        <cdr:cNvSpPr txBox="1">
          <a:spLocks xmlns:a="http://schemas.openxmlformats.org/drawingml/2006/main" noChangeArrowheads="1"/>
        </cdr:cNvSpPr>
      </cdr:nvSpPr>
      <cdr:spPr bwMode="auto">
        <a:xfrm xmlns:a="http://schemas.openxmlformats.org/drawingml/2006/main">
          <a:off x="1963944" y="264401"/>
          <a:ext cx="1562290" cy="40040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Volatile Solids                (kgm</a:t>
          </a:r>
          <a:r>
            <a:rPr lang="en-AU" sz="800" b="0" i="0" u="none" strike="noStrike" baseline="30000">
              <a:solidFill>
                <a:srgbClr val="000000"/>
              </a:solidFill>
              <a:latin typeface="Times New Roman" panose="02020603050405020304" pitchFamily="18" charset="0"/>
              <a:cs typeface="Times New Roman" panose="02020603050405020304" pitchFamily="18" charset="0"/>
            </a:rPr>
            <a:t>-3</a:t>
          </a:r>
          <a:r>
            <a:rPr lang="en-AU" sz="800" b="0" i="0" u="none" strike="noStrike" baseline="0">
              <a:solidFill>
                <a:srgbClr val="000000"/>
              </a:solidFill>
              <a:latin typeface="Times New Roman" panose="02020603050405020304" pitchFamily="18" charset="0"/>
              <a:cs typeface="Times New Roman" panose="02020603050405020304" pitchFamily="18" charset="0"/>
            </a:rPr>
            <a:t>)</a:t>
          </a:r>
        </a:p>
      </cdr:txBody>
    </cdr:sp>
  </cdr:relSizeAnchor>
  <cdr:relSizeAnchor xmlns:cdr="http://schemas.openxmlformats.org/drawingml/2006/chartDrawing">
    <cdr:from>
      <cdr:x>0.49918</cdr:x>
      <cdr:y>0.09694</cdr:y>
    </cdr:from>
    <cdr:to>
      <cdr:x>0.54905</cdr:x>
      <cdr:y>0.2284</cdr:y>
    </cdr:to>
    <cdr:sp macro="" textlink="'Temp&amp;RT'!$B$30">
      <cdr:nvSpPr>
        <cdr:cNvPr id="3075" name="Text 3"/>
        <cdr:cNvSpPr txBox="1">
          <a:spLocks xmlns:a="http://schemas.openxmlformats.org/drawingml/2006/main" noChangeArrowheads="1"/>
        </cdr:cNvSpPr>
      </cdr:nvSpPr>
      <cdr:spPr bwMode="auto">
        <a:xfrm xmlns:a="http://schemas.openxmlformats.org/drawingml/2006/main">
          <a:off x="2953515" y="318972"/>
          <a:ext cx="295068" cy="43256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1EE11528-6E69-4919-9B50-CFC7B1380D01}" type="TxLink">
            <a:rPr lang="en-AU" sz="800" b="0" i="0" u="none" strike="noStrike" baseline="0">
              <a:solidFill>
                <a:srgbClr val="000000"/>
              </a:solidFill>
              <a:latin typeface="Times New Roman" panose="02020603050405020304" pitchFamily="18" charset="0"/>
              <a:cs typeface="Times New Roman" panose="02020603050405020304" pitchFamily="18" charset="0"/>
            </a:rPr>
            <a:pPr algn="l" rtl="0">
              <a:defRPr sz="1000"/>
            </a:pPr>
            <a:t>52</a:t>
          </a:fld>
          <a:endParaRPr lang="en-AU" sz="800" b="0" i="0" u="none" strike="noStrike" baseline="0">
            <a:solidFill>
              <a:srgbClr val="000000"/>
            </a:solidFill>
            <a:latin typeface="Times New Roman" panose="02020603050405020304" pitchFamily="18" charset="0"/>
            <a:cs typeface="Times New Roman" panose="02020603050405020304" pitchFamily="18" charset="0"/>
          </a:endParaRPr>
        </a:p>
      </cdr:txBody>
    </cdr:sp>
  </cdr:relSizeAnchor>
</c:userShapes>
</file>

<file path=xl/drawings/drawing12.xml><?xml version="1.0" encoding="utf-8"?>
<c:userShapes xmlns:c="http://schemas.openxmlformats.org/drawingml/2006/chart">
  <cdr:relSizeAnchor xmlns:cdr="http://schemas.openxmlformats.org/drawingml/2006/chartDrawing">
    <cdr:from>
      <cdr:x>0.30221</cdr:x>
      <cdr:y>0.12015</cdr:y>
    </cdr:from>
    <cdr:to>
      <cdr:x>0.6137</cdr:x>
      <cdr:y>0.26014</cdr:y>
    </cdr:to>
    <cdr:sp macro="" textlink="">
      <cdr:nvSpPr>
        <cdr:cNvPr id="71682" name="Text 2"/>
        <cdr:cNvSpPr txBox="1">
          <a:spLocks xmlns:a="http://schemas.openxmlformats.org/drawingml/2006/main" noChangeArrowheads="1"/>
        </cdr:cNvSpPr>
      </cdr:nvSpPr>
      <cdr:spPr bwMode="auto">
        <a:xfrm xmlns:a="http://schemas.openxmlformats.org/drawingml/2006/main">
          <a:off x="1485589" y="395348"/>
          <a:ext cx="1531238" cy="46063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Volatile Solids                (kgm</a:t>
          </a:r>
          <a:r>
            <a:rPr lang="en-AU" sz="800" b="0" i="0" u="none" strike="noStrike" baseline="30000">
              <a:solidFill>
                <a:srgbClr val="000000"/>
              </a:solidFill>
              <a:latin typeface="Times New Roman" panose="02020603050405020304" pitchFamily="18" charset="0"/>
              <a:cs typeface="Times New Roman" panose="02020603050405020304" pitchFamily="18" charset="0"/>
            </a:rPr>
            <a:t>-3</a:t>
          </a:r>
          <a:r>
            <a:rPr lang="en-AU" sz="800" b="0" i="0" u="none" strike="noStrike" baseline="0">
              <a:solidFill>
                <a:srgbClr val="000000"/>
              </a:solidFill>
              <a:latin typeface="Times New Roman" panose="02020603050405020304" pitchFamily="18" charset="0"/>
              <a:cs typeface="Times New Roman" panose="02020603050405020304" pitchFamily="18" charset="0"/>
            </a:rPr>
            <a:t>)</a:t>
          </a:r>
        </a:p>
      </cdr:txBody>
    </cdr:sp>
  </cdr:relSizeAnchor>
  <cdr:relSizeAnchor xmlns:cdr="http://schemas.openxmlformats.org/drawingml/2006/chartDrawing">
    <cdr:from>
      <cdr:x>0.45048</cdr:x>
      <cdr:y>0.12015</cdr:y>
    </cdr:from>
    <cdr:to>
      <cdr:x>0.50395</cdr:x>
      <cdr:y>0.24631</cdr:y>
    </cdr:to>
    <cdr:sp macro="" textlink="'Temp&amp;RT'!$B$30">
      <cdr:nvSpPr>
        <cdr:cNvPr id="71683" name="Text 3"/>
        <cdr:cNvSpPr txBox="1">
          <a:spLocks xmlns:a="http://schemas.openxmlformats.org/drawingml/2006/main" noChangeArrowheads="1"/>
        </cdr:cNvSpPr>
      </cdr:nvSpPr>
      <cdr:spPr bwMode="auto">
        <a:xfrm xmlns:a="http://schemas.openxmlformats.org/drawingml/2006/main">
          <a:off x="2250146" y="322727"/>
          <a:ext cx="304824" cy="34286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F60CBA09-7B71-4FFA-B43E-1463ECC38AB7}" type="TxLink">
            <a:rPr lang="en-AU" sz="800" b="0" i="0" u="none" strike="noStrike" baseline="0">
              <a:solidFill>
                <a:srgbClr val="000000"/>
              </a:solidFill>
              <a:latin typeface="Times New Roman" panose="02020603050405020304" pitchFamily="18" charset="0"/>
              <a:cs typeface="Times New Roman" panose="02020603050405020304" pitchFamily="18" charset="0"/>
            </a:rPr>
            <a:pPr algn="l" rtl="0">
              <a:defRPr sz="1000"/>
            </a:pPr>
            <a:t>52</a:t>
          </a:fld>
          <a:endParaRPr lang="en-AU" sz="800" b="0" i="0" u="none" strike="noStrike" baseline="0">
            <a:solidFill>
              <a:srgbClr val="000000"/>
            </a:solidFill>
            <a:latin typeface="Times New Roman" panose="02020603050405020304" pitchFamily="18" charset="0"/>
            <a:cs typeface="Times New Roman" panose="02020603050405020304" pitchFamily="18" charset="0"/>
          </a:endParaRPr>
        </a:p>
      </cdr:txBody>
    </cdr:sp>
  </cdr:relSizeAnchor>
  <cdr:relSizeAnchor xmlns:cdr="http://schemas.openxmlformats.org/drawingml/2006/chartDrawing">
    <cdr:from>
      <cdr:x>0.8405</cdr:x>
      <cdr:y>0.22541</cdr:y>
    </cdr:from>
    <cdr:to>
      <cdr:x>0.9827</cdr:x>
      <cdr:y>0.39697</cdr:y>
    </cdr:to>
    <cdr:sp macro="" textlink="">
      <cdr:nvSpPr>
        <cdr:cNvPr id="71684" name="Text 1"/>
        <cdr:cNvSpPr txBox="1">
          <a:spLocks xmlns:a="http://schemas.openxmlformats.org/drawingml/2006/main" noChangeArrowheads="1"/>
        </cdr:cNvSpPr>
      </cdr:nvSpPr>
      <cdr:spPr bwMode="auto">
        <a:xfrm xmlns:a="http://schemas.openxmlformats.org/drawingml/2006/main">
          <a:off x="4131687" y="741712"/>
          <a:ext cx="699022" cy="564510"/>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Retention Time (days)</a:t>
          </a: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4</xdr:row>
      <xdr:rowOff>0</xdr:rowOff>
    </xdr:from>
    <xdr:to>
      <xdr:col>8</xdr:col>
      <xdr:colOff>552450</xdr:colOff>
      <xdr:row>24</xdr:row>
      <xdr:rowOff>9525</xdr:rowOff>
    </xdr:to>
    <xdr:graphicFrame macro="">
      <xdr:nvGraphicFramePr>
        <xdr:cNvPr id="411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552450</xdr:colOff>
      <xdr:row>3</xdr:row>
      <xdr:rowOff>180975</xdr:rowOff>
    </xdr:from>
    <xdr:to>
      <xdr:col>16</xdr:col>
      <xdr:colOff>600075</xdr:colOff>
      <xdr:row>24</xdr:row>
      <xdr:rowOff>0</xdr:rowOff>
    </xdr:to>
    <xdr:graphicFrame macro="">
      <xdr:nvGraphicFramePr>
        <xdr:cNvPr id="4120"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4106" name="Drop Down 10" hidden="1">
              <a:extLst>
                <a:ext uri="{63B3BB69-23CF-44E3-9099-C40C66FF867C}">
                  <a14:compatExt spid="_x0000_s410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4107" name="Drop Down 11" hidden="1">
              <a:extLst>
                <a:ext uri="{63B3BB69-23CF-44E3-9099-C40C66FF867C}">
                  <a14:compatExt spid="_x0000_s410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4108" name="Drop Down 12" hidden="1">
              <a:extLst>
                <a:ext uri="{63B3BB69-23CF-44E3-9099-C40C66FF867C}">
                  <a14:compatExt spid="_x0000_s410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4.xml><?xml version="1.0" encoding="utf-8"?>
<c:userShapes xmlns:c="http://schemas.openxmlformats.org/drawingml/2006/chart">
  <cdr:relSizeAnchor xmlns:cdr="http://schemas.openxmlformats.org/drawingml/2006/chartDrawing">
    <cdr:from>
      <cdr:x>0.8633</cdr:x>
      <cdr:y>0.22566</cdr:y>
    </cdr:from>
    <cdr:to>
      <cdr:x>0.99444</cdr:x>
      <cdr:y>0.35752</cdr:y>
    </cdr:to>
    <cdr:sp macro="" textlink="">
      <cdr:nvSpPr>
        <cdr:cNvPr id="5121" name="Text 1"/>
        <cdr:cNvSpPr txBox="1">
          <a:spLocks xmlns:a="http://schemas.openxmlformats.org/drawingml/2006/main" noChangeArrowheads="1"/>
        </cdr:cNvSpPr>
      </cdr:nvSpPr>
      <cdr:spPr bwMode="auto">
        <a:xfrm xmlns:a="http://schemas.openxmlformats.org/drawingml/2006/main">
          <a:off x="4791843" y="593134"/>
          <a:ext cx="618513" cy="52415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Retention Time (days)</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0.38111</cdr:x>
      <cdr:y>0.11625</cdr:y>
    </cdr:from>
    <cdr:to>
      <cdr:x>0.61818</cdr:x>
      <cdr:y>0.20188</cdr:y>
    </cdr:to>
    <cdr:sp macro="" textlink="">
      <cdr:nvSpPr>
        <cdr:cNvPr id="5122" name="Text 2"/>
        <cdr:cNvSpPr txBox="1">
          <a:spLocks xmlns:a="http://schemas.openxmlformats.org/drawingml/2006/main" noChangeArrowheads="1"/>
        </cdr:cNvSpPr>
      </cdr:nvSpPr>
      <cdr:spPr bwMode="auto">
        <a:xfrm xmlns:a="http://schemas.openxmlformats.org/drawingml/2006/main">
          <a:off x="2011874" y="311690"/>
          <a:ext cx="1466797" cy="21898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Temperature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cdr:txBody>
    </cdr:sp>
  </cdr:relSizeAnchor>
  <cdr:relSizeAnchor xmlns:cdr="http://schemas.openxmlformats.org/drawingml/2006/chartDrawing">
    <cdr:from>
      <cdr:x>0.48453</cdr:x>
      <cdr:y>0.11625</cdr:y>
    </cdr:from>
    <cdr:to>
      <cdr:x>0.55355</cdr:x>
      <cdr:y>0.18707</cdr:y>
    </cdr:to>
    <cdr:sp macro="" textlink="'VS&amp;RT'!$C$30">
      <cdr:nvSpPr>
        <cdr:cNvPr id="5123" name="Text 3"/>
        <cdr:cNvSpPr txBox="1">
          <a:spLocks xmlns:a="http://schemas.openxmlformats.org/drawingml/2006/main" noChangeArrowheads="1"/>
        </cdr:cNvSpPr>
      </cdr:nvSpPr>
      <cdr:spPr bwMode="auto">
        <a:xfrm xmlns:a="http://schemas.openxmlformats.org/drawingml/2006/main">
          <a:off x="2651761" y="311690"/>
          <a:ext cx="428818" cy="18104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0AD50CBF-E7D1-43E1-ACBE-132EB6EC7901}" type="TxLink">
            <a:rPr lang="en-AU" sz="800" b="0" i="0" u="none" strike="noStrike" baseline="0">
              <a:solidFill>
                <a:srgbClr val="000000"/>
              </a:solidFill>
              <a:latin typeface="Arial"/>
              <a:cs typeface="Arial"/>
            </a:rPr>
            <a:pPr algn="l" rtl="0">
              <a:defRPr sz="1000"/>
            </a:pPr>
            <a:t>35</a:t>
          </a:fld>
          <a:endParaRPr lang="en-AU" sz="800" b="0" i="0" u="none" strike="noStrike" baseline="0">
            <a:solidFill>
              <a:srgbClr val="000000"/>
            </a:solidFill>
            <a:latin typeface="Arial"/>
            <a:cs typeface="Arial"/>
          </a:endParaRPr>
        </a:p>
      </cdr:txBody>
    </cdr:sp>
  </cdr:relSizeAnchor>
</c:userShapes>
</file>

<file path=xl/drawings/drawing15.xml><?xml version="1.0" encoding="utf-8"?>
<c:userShapes xmlns:c="http://schemas.openxmlformats.org/drawingml/2006/chart">
  <cdr:relSizeAnchor xmlns:cdr="http://schemas.openxmlformats.org/drawingml/2006/chartDrawing">
    <cdr:from>
      <cdr:x>0.84529</cdr:x>
      <cdr:y>0.23318</cdr:y>
    </cdr:from>
    <cdr:to>
      <cdr:x>0.98601</cdr:x>
      <cdr:y>0.36502</cdr:y>
    </cdr:to>
    <cdr:sp macro="" textlink="">
      <cdr:nvSpPr>
        <cdr:cNvPr id="98307" name="Text 1"/>
        <cdr:cNvSpPr txBox="1">
          <a:spLocks xmlns:a="http://schemas.openxmlformats.org/drawingml/2006/main" noChangeArrowheads="1"/>
        </cdr:cNvSpPr>
      </cdr:nvSpPr>
      <cdr:spPr bwMode="auto">
        <a:xfrm xmlns:a="http://schemas.openxmlformats.org/drawingml/2006/main">
          <a:off x="4270727" y="613689"/>
          <a:ext cx="629096" cy="533639"/>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Retention Time (days)</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0.33887</cdr:x>
      <cdr:y>0.12109</cdr:y>
    </cdr:from>
    <cdr:to>
      <cdr:x>0.69524</cdr:x>
      <cdr:y>0.20649</cdr:y>
    </cdr:to>
    <cdr:sp macro="" textlink="">
      <cdr:nvSpPr>
        <cdr:cNvPr id="98308" name="Text 2"/>
        <cdr:cNvSpPr txBox="1">
          <a:spLocks xmlns:a="http://schemas.openxmlformats.org/drawingml/2006/main" noChangeArrowheads="1"/>
        </cdr:cNvSpPr>
      </cdr:nvSpPr>
      <cdr:spPr bwMode="auto">
        <a:xfrm xmlns:a="http://schemas.openxmlformats.org/drawingml/2006/main">
          <a:off x="1622930" y="323548"/>
          <a:ext cx="1980981" cy="218990"/>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Temperature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cdr:txBody>
    </cdr:sp>
  </cdr:relSizeAnchor>
  <cdr:relSizeAnchor xmlns:cdr="http://schemas.openxmlformats.org/drawingml/2006/chartDrawing">
    <cdr:from>
      <cdr:x>0.45686</cdr:x>
      <cdr:y>0.12109</cdr:y>
    </cdr:from>
    <cdr:to>
      <cdr:x>0.53314</cdr:x>
      <cdr:y>0.19145</cdr:y>
    </cdr:to>
    <cdr:sp macro="" textlink="'VS&amp;RT'!$C$30">
      <cdr:nvSpPr>
        <cdr:cNvPr id="98309" name="Text 3"/>
        <cdr:cNvSpPr txBox="1">
          <a:spLocks xmlns:a="http://schemas.openxmlformats.org/drawingml/2006/main" noChangeArrowheads="1"/>
        </cdr:cNvSpPr>
      </cdr:nvSpPr>
      <cdr:spPr bwMode="auto">
        <a:xfrm xmlns:a="http://schemas.openxmlformats.org/drawingml/2006/main">
          <a:off x="2290963" y="323548"/>
          <a:ext cx="428321" cy="18104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3DF295F8-A0FE-43E6-AF0E-0D264410B220}" type="TxLink">
            <a:rPr lang="en-AU" sz="800" b="0" i="0" u="none" strike="noStrike" baseline="0">
              <a:solidFill>
                <a:srgbClr val="000000"/>
              </a:solidFill>
              <a:latin typeface="Arial"/>
              <a:cs typeface="Arial"/>
            </a:rPr>
            <a:pPr algn="l" rtl="0">
              <a:defRPr sz="1000"/>
            </a:pPr>
            <a:t>35</a:t>
          </a:fld>
          <a:endParaRPr lang="en-AU" sz="800" b="0" i="0" u="none" strike="noStrike" baseline="0">
            <a:solidFill>
              <a:srgbClr val="000000"/>
            </a:solidFill>
            <a:latin typeface="Arial"/>
            <a:cs typeface="Arial"/>
          </a:endParaRPr>
        </a:p>
      </cdr:txBody>
    </cdr:sp>
  </cdr:relSizeAnchor>
</c:userShapes>
</file>

<file path=xl/drawings/drawing16.xml><?xml version="1.0" encoding="utf-8"?>
<xdr:wsDr xmlns:xdr="http://schemas.openxmlformats.org/drawingml/2006/spreadsheetDrawing" xmlns:a="http://schemas.openxmlformats.org/drawingml/2006/main">
  <xdr:twoCellAnchor>
    <xdr:from>
      <xdr:col>0</xdr:col>
      <xdr:colOff>0</xdr:colOff>
      <xdr:row>4</xdr:row>
      <xdr:rowOff>9525</xdr:rowOff>
    </xdr:from>
    <xdr:to>
      <xdr:col>8</xdr:col>
      <xdr:colOff>581025</xdr:colOff>
      <xdr:row>24</xdr:row>
      <xdr:rowOff>9525</xdr:rowOff>
    </xdr:to>
    <xdr:graphicFrame macro="">
      <xdr:nvGraphicFramePr>
        <xdr:cNvPr id="6166"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581025</xdr:colOff>
      <xdr:row>4</xdr:row>
      <xdr:rowOff>0</xdr:rowOff>
    </xdr:from>
    <xdr:to>
      <xdr:col>17</xdr:col>
      <xdr:colOff>47625</xdr:colOff>
      <xdr:row>24</xdr:row>
      <xdr:rowOff>9525</xdr:rowOff>
    </xdr:to>
    <xdr:graphicFrame macro="">
      <xdr:nvGraphicFramePr>
        <xdr:cNvPr id="6167"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6146" name="Drop Down 2" hidden="1">
              <a:extLst>
                <a:ext uri="{63B3BB69-23CF-44E3-9099-C40C66FF867C}">
                  <a14:compatExt spid="_x0000_s614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6151" name="Drop Down 7" hidden="1">
              <a:extLst>
                <a:ext uri="{63B3BB69-23CF-44E3-9099-C40C66FF867C}">
                  <a14:compatExt spid="_x0000_s615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6154" name="Drop Down 10" hidden="1">
              <a:extLst>
                <a:ext uri="{63B3BB69-23CF-44E3-9099-C40C66FF867C}">
                  <a14:compatExt spid="_x0000_s615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6155" name="Drop Down 11" hidden="1">
              <a:extLst>
                <a:ext uri="{63B3BB69-23CF-44E3-9099-C40C66FF867C}">
                  <a14:compatExt spid="_x0000_s615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7.xml><?xml version="1.0" encoding="utf-8"?>
<c:userShapes xmlns:c="http://schemas.openxmlformats.org/drawingml/2006/chart">
  <cdr:relSizeAnchor xmlns:cdr="http://schemas.openxmlformats.org/drawingml/2006/chartDrawing">
    <cdr:from>
      <cdr:x>0.81077</cdr:x>
      <cdr:y>0.29973</cdr:y>
    </cdr:from>
    <cdr:to>
      <cdr:x>0.98907</cdr:x>
      <cdr:y>0.36918</cdr:y>
    </cdr:to>
    <cdr:sp macro="" textlink="">
      <cdr:nvSpPr>
        <cdr:cNvPr id="7169" name="Text 1"/>
        <cdr:cNvSpPr txBox="1">
          <a:spLocks xmlns:a="http://schemas.openxmlformats.org/drawingml/2006/main" noChangeArrowheads="1"/>
        </cdr:cNvSpPr>
      </cdr:nvSpPr>
      <cdr:spPr bwMode="auto">
        <a:xfrm xmlns:a="http://schemas.openxmlformats.org/drawingml/2006/main">
          <a:off x="4545905" y="887074"/>
          <a:ext cx="866251" cy="28611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VS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0.37643</cdr:x>
      <cdr:y>0.11967</cdr:y>
    </cdr:from>
    <cdr:to>
      <cdr:x>0.61769</cdr:x>
      <cdr:y>0.20435</cdr:y>
    </cdr:to>
    <cdr:sp macro="" textlink="">
      <cdr:nvSpPr>
        <cdr:cNvPr id="7170" name="Text 2"/>
        <cdr:cNvSpPr txBox="1">
          <a:spLocks xmlns:a="http://schemas.openxmlformats.org/drawingml/2006/main" noChangeArrowheads="1"/>
        </cdr:cNvSpPr>
      </cdr:nvSpPr>
      <cdr:spPr bwMode="auto">
        <a:xfrm xmlns:a="http://schemas.openxmlformats.org/drawingml/2006/main">
          <a:off x="1986099" y="322727"/>
          <a:ext cx="1505531" cy="21911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Retention Time               (days)</a:t>
          </a:r>
        </a:p>
      </cdr:txBody>
    </cdr:sp>
  </cdr:relSizeAnchor>
  <cdr:relSizeAnchor xmlns:cdr="http://schemas.openxmlformats.org/drawingml/2006/chartDrawing">
    <cdr:from>
      <cdr:x>0.4941</cdr:x>
      <cdr:y>0.11967</cdr:y>
    </cdr:from>
    <cdr:to>
      <cdr:x>0.55356</cdr:x>
      <cdr:y>0.1973</cdr:y>
    </cdr:to>
    <cdr:sp macro="" textlink="'Temp&amp;VS'!$D$30">
      <cdr:nvSpPr>
        <cdr:cNvPr id="7171" name="Text 3"/>
        <cdr:cNvSpPr txBox="1">
          <a:spLocks xmlns:a="http://schemas.openxmlformats.org/drawingml/2006/main" noChangeArrowheads="1"/>
        </cdr:cNvSpPr>
      </cdr:nvSpPr>
      <cdr:spPr bwMode="auto">
        <a:xfrm xmlns:a="http://schemas.openxmlformats.org/drawingml/2006/main">
          <a:off x="2718048" y="322727"/>
          <a:ext cx="372018" cy="20020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9E8A51EA-CE0F-464D-951B-A1F946AB4E1F}" type="TxLink">
            <a:rPr lang="en-AU" sz="800" b="0" i="0" u="none" strike="noStrike" baseline="0">
              <a:solidFill>
                <a:srgbClr val="000000"/>
              </a:solidFill>
              <a:latin typeface="Arial"/>
              <a:cs typeface="Arial"/>
            </a:rPr>
            <a:pPr algn="l" rtl="0">
              <a:defRPr sz="1000"/>
            </a:pPr>
            <a:t>11.9</a:t>
          </a:fld>
          <a:endParaRPr lang="en-AU" sz="800" b="0" i="0" u="none" strike="noStrike" baseline="0">
            <a:solidFill>
              <a:srgbClr val="000000"/>
            </a:solidFill>
            <a:latin typeface="Arial"/>
            <a:cs typeface="Arial"/>
          </a:endParaRPr>
        </a:p>
      </cdr:txBody>
    </cdr:sp>
  </cdr:relSizeAnchor>
</c:userShapes>
</file>

<file path=xl/drawings/drawing18.xml><?xml version="1.0" encoding="utf-8"?>
<c:userShapes xmlns:c="http://schemas.openxmlformats.org/drawingml/2006/chart">
  <cdr:relSizeAnchor xmlns:cdr="http://schemas.openxmlformats.org/drawingml/2006/chartDrawing">
    <cdr:from>
      <cdr:x>0.80628</cdr:x>
      <cdr:y>0.20479</cdr:y>
    </cdr:from>
    <cdr:to>
      <cdr:x>0.99996</cdr:x>
      <cdr:y>0.28683</cdr:y>
    </cdr:to>
    <cdr:sp macro="" textlink="">
      <cdr:nvSpPr>
        <cdr:cNvPr id="99332" name="Text 1"/>
        <cdr:cNvSpPr txBox="1">
          <a:spLocks xmlns:a="http://schemas.openxmlformats.org/drawingml/2006/main" noChangeArrowheads="1"/>
        </cdr:cNvSpPr>
      </cdr:nvSpPr>
      <cdr:spPr bwMode="auto">
        <a:xfrm xmlns:a="http://schemas.openxmlformats.org/drawingml/2006/main">
          <a:off x="4096722" y="537004"/>
          <a:ext cx="866375" cy="285397"/>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VS (kgm-3)</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0.3482</cdr:x>
      <cdr:y>0.13277</cdr:y>
    </cdr:from>
    <cdr:to>
      <cdr:x>0.60621</cdr:x>
      <cdr:y>0.21085</cdr:y>
    </cdr:to>
    <cdr:sp macro="" textlink="">
      <cdr:nvSpPr>
        <cdr:cNvPr id="99333" name="Text 2"/>
        <cdr:cNvSpPr txBox="1">
          <a:spLocks xmlns:a="http://schemas.openxmlformats.org/drawingml/2006/main" noChangeArrowheads="1"/>
        </cdr:cNvSpPr>
      </cdr:nvSpPr>
      <cdr:spPr bwMode="auto">
        <a:xfrm xmlns:a="http://schemas.openxmlformats.org/drawingml/2006/main">
          <a:off x="1678903" y="352009"/>
          <a:ext cx="1448015" cy="20001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Retention Time               (days)</a:t>
          </a:r>
        </a:p>
      </cdr:txBody>
    </cdr:sp>
  </cdr:relSizeAnchor>
  <cdr:relSizeAnchor xmlns:cdr="http://schemas.openxmlformats.org/drawingml/2006/chartDrawing">
    <cdr:from>
      <cdr:x>0.4723</cdr:x>
      <cdr:y>0.1335</cdr:y>
    </cdr:from>
    <cdr:to>
      <cdr:x>0.53878</cdr:x>
      <cdr:y>0.21182</cdr:y>
    </cdr:to>
    <cdr:sp macro="" textlink="'Temp&amp;VS'!$D$30">
      <cdr:nvSpPr>
        <cdr:cNvPr id="99334" name="Text 3"/>
        <cdr:cNvSpPr txBox="1">
          <a:spLocks xmlns:a="http://schemas.openxmlformats.org/drawingml/2006/main" noChangeArrowheads="1"/>
        </cdr:cNvSpPr>
      </cdr:nvSpPr>
      <cdr:spPr bwMode="auto">
        <a:xfrm xmlns:a="http://schemas.openxmlformats.org/drawingml/2006/main">
          <a:off x="2377357" y="355171"/>
          <a:ext cx="371130" cy="20001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00CE198F-B99F-4505-9170-8FF19C7B65AB}" type="TxLink">
            <a:rPr lang="en-AU" sz="800" b="0" i="0" u="none" strike="noStrike" baseline="0">
              <a:solidFill>
                <a:srgbClr val="000000"/>
              </a:solidFill>
              <a:latin typeface="Arial"/>
              <a:cs typeface="Arial"/>
            </a:rPr>
            <a:pPr algn="l" rtl="0">
              <a:defRPr sz="1000"/>
            </a:pPr>
            <a:t>11.9</a:t>
          </a:fld>
          <a:endParaRPr lang="en-AU" sz="800" b="0" i="0" u="none" strike="noStrike" baseline="0">
            <a:solidFill>
              <a:srgbClr val="000000"/>
            </a:solidFill>
            <a:latin typeface="Arial"/>
            <a:cs typeface="Arial"/>
          </a:endParaRPr>
        </a:p>
      </cdr:txBody>
    </cdr:sp>
  </cdr:relSizeAnchor>
</c:userShapes>
</file>

<file path=xl/drawings/drawing19.xml><?xml version="1.0" encoding="utf-8"?>
<xdr:wsDr xmlns:xdr="http://schemas.openxmlformats.org/drawingml/2006/spreadsheetDrawing" xmlns:a="http://schemas.openxmlformats.org/drawingml/2006/main">
  <xdr:twoCellAnchor editAs="absolute">
    <xdr:from>
      <xdr:col>0</xdr:col>
      <xdr:colOff>9525</xdr:colOff>
      <xdr:row>3</xdr:row>
      <xdr:rowOff>180975</xdr:rowOff>
    </xdr:from>
    <xdr:to>
      <xdr:col>8</xdr:col>
      <xdr:colOff>571500</xdr:colOff>
      <xdr:row>23</xdr:row>
      <xdr:rowOff>152400</xdr:rowOff>
    </xdr:to>
    <xdr:graphicFrame macro="">
      <xdr:nvGraphicFramePr>
        <xdr:cNvPr id="8215"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571500</xdr:colOff>
      <xdr:row>3</xdr:row>
      <xdr:rowOff>171450</xdr:rowOff>
    </xdr:from>
    <xdr:to>
      <xdr:col>17</xdr:col>
      <xdr:colOff>38100</xdr:colOff>
      <xdr:row>23</xdr:row>
      <xdr:rowOff>152400</xdr:rowOff>
    </xdr:to>
    <xdr:graphicFrame macro="">
      <xdr:nvGraphicFramePr>
        <xdr:cNvPr id="8216"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8194" name="Drop Down 2" hidden="1">
              <a:extLst>
                <a:ext uri="{63B3BB69-23CF-44E3-9099-C40C66FF867C}">
                  <a14:compatExt spid="_x0000_s819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8202" name="Drop Down 10" hidden="1">
              <a:extLst>
                <a:ext uri="{63B3BB69-23CF-44E3-9099-C40C66FF867C}">
                  <a14:compatExt spid="_x0000_s820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8203" name="Drop Down 11" hidden="1">
              <a:extLst>
                <a:ext uri="{63B3BB69-23CF-44E3-9099-C40C66FF867C}">
                  <a14:compatExt spid="_x0000_s820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8204" name="Drop Down 12" hidden="1">
              <a:extLst>
                <a:ext uri="{63B3BB69-23CF-44E3-9099-C40C66FF867C}">
                  <a14:compatExt spid="_x0000_s820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20.xml><?xml version="1.0" encoding="utf-8"?>
<c:userShapes xmlns:c="http://schemas.openxmlformats.org/drawingml/2006/chart">
  <cdr:relSizeAnchor xmlns:cdr="http://schemas.openxmlformats.org/drawingml/2006/chartDrawing">
    <cdr:from>
      <cdr:x>0.85275</cdr:x>
      <cdr:y>0.29779</cdr:y>
    </cdr:from>
    <cdr:to>
      <cdr:x>0.98191</cdr:x>
      <cdr:y>0.39419</cdr:y>
    </cdr:to>
    <cdr:sp macro="" textlink="">
      <cdr:nvSpPr>
        <cdr:cNvPr id="9217" name="Text 1"/>
        <cdr:cNvSpPr txBox="1">
          <a:spLocks xmlns:a="http://schemas.openxmlformats.org/drawingml/2006/main" noChangeArrowheads="1"/>
        </cdr:cNvSpPr>
      </cdr:nvSpPr>
      <cdr:spPr bwMode="auto">
        <a:xfrm xmlns:a="http://schemas.openxmlformats.org/drawingml/2006/main">
          <a:off x="4737395" y="866581"/>
          <a:ext cx="619616" cy="40040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Temp.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0.35704</cdr:x>
      <cdr:y>0.11506</cdr:y>
    </cdr:from>
    <cdr:to>
      <cdr:x>0.63169</cdr:x>
      <cdr:y>0.19925</cdr:y>
    </cdr:to>
    <cdr:sp macro="" textlink="">
      <cdr:nvSpPr>
        <cdr:cNvPr id="9218" name="Text 2"/>
        <cdr:cNvSpPr txBox="1">
          <a:spLocks xmlns:a="http://schemas.openxmlformats.org/drawingml/2006/main" noChangeArrowheads="1"/>
        </cdr:cNvSpPr>
      </cdr:nvSpPr>
      <cdr:spPr bwMode="auto">
        <a:xfrm xmlns:a="http://schemas.openxmlformats.org/drawingml/2006/main">
          <a:off x="1880205" y="307751"/>
          <a:ext cx="1695578" cy="21911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Volatile Solids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cdr:txBody>
    </cdr:sp>
  </cdr:relSizeAnchor>
  <cdr:relSizeAnchor xmlns:cdr="http://schemas.openxmlformats.org/drawingml/2006/chartDrawing">
    <cdr:from>
      <cdr:x>0.48845</cdr:x>
      <cdr:y>0.11506</cdr:y>
    </cdr:from>
    <cdr:to>
      <cdr:x>0.57028</cdr:x>
      <cdr:y>0.18856</cdr:y>
    </cdr:to>
    <cdr:sp macro="" textlink="'RT&amp;Temp'!$B$30">
      <cdr:nvSpPr>
        <cdr:cNvPr id="9219" name="Text 3"/>
        <cdr:cNvSpPr txBox="1">
          <a:spLocks xmlns:a="http://schemas.openxmlformats.org/drawingml/2006/main" noChangeArrowheads="1"/>
        </cdr:cNvSpPr>
      </cdr:nvSpPr>
      <cdr:spPr bwMode="auto">
        <a:xfrm xmlns:a="http://schemas.openxmlformats.org/drawingml/2006/main">
          <a:off x="2691192" y="307751"/>
          <a:ext cx="504525" cy="19074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E2202021-EC42-4181-B301-F7DAB102538E}" type="TxLink">
            <a:rPr lang="en-AU" sz="800" b="0" i="0" u="none" strike="noStrike" baseline="0">
              <a:solidFill>
                <a:srgbClr val="000000"/>
              </a:solidFill>
              <a:latin typeface="Arial"/>
              <a:cs typeface="Arial"/>
            </a:rPr>
            <a:pPr algn="l" rtl="0">
              <a:defRPr sz="1000"/>
            </a:pPr>
            <a:t>52</a:t>
          </a:fld>
          <a:endParaRPr lang="en-AU" sz="800" b="0" i="0" u="none" strike="noStrike" baseline="0">
            <a:solidFill>
              <a:srgbClr val="000000"/>
            </a:solidFill>
            <a:latin typeface="Arial"/>
            <a:cs typeface="Arial"/>
          </a:endParaRPr>
        </a:p>
      </cdr:txBody>
    </cdr:sp>
  </cdr:relSizeAnchor>
</c:userShapes>
</file>

<file path=xl/drawings/drawing21.xml><?xml version="1.0" encoding="utf-8"?>
<c:userShapes xmlns:c="http://schemas.openxmlformats.org/drawingml/2006/chart">
  <cdr:relSizeAnchor xmlns:cdr="http://schemas.openxmlformats.org/drawingml/2006/chartDrawing">
    <cdr:from>
      <cdr:x>0.33668</cdr:x>
      <cdr:y>0.12036</cdr:y>
    </cdr:from>
    <cdr:to>
      <cdr:x>0.62019</cdr:x>
      <cdr:y>0.23415</cdr:y>
    </cdr:to>
    <cdr:sp macro="" textlink="">
      <cdr:nvSpPr>
        <cdr:cNvPr id="100353" name="Text 2"/>
        <cdr:cNvSpPr txBox="1">
          <a:spLocks xmlns:a="http://schemas.openxmlformats.org/drawingml/2006/main" noChangeArrowheads="1"/>
        </cdr:cNvSpPr>
      </cdr:nvSpPr>
      <cdr:spPr bwMode="auto">
        <a:xfrm xmlns:a="http://schemas.openxmlformats.org/drawingml/2006/main">
          <a:off x="1622930" y="321177"/>
          <a:ext cx="1600116" cy="29488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Volatile Solids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cdr:txBody>
    </cdr:sp>
  </cdr:relSizeAnchor>
  <cdr:relSizeAnchor xmlns:cdr="http://schemas.openxmlformats.org/drawingml/2006/chartDrawing">
    <cdr:from>
      <cdr:x>0.46446</cdr:x>
      <cdr:y>0.12036</cdr:y>
    </cdr:from>
    <cdr:to>
      <cdr:x>0.51816</cdr:x>
      <cdr:y>0.24822</cdr:y>
    </cdr:to>
    <cdr:sp macro="" textlink="'Temp&amp;RT'!$B$30">
      <cdr:nvSpPr>
        <cdr:cNvPr id="100354" name="Text 3"/>
        <cdr:cNvSpPr txBox="1">
          <a:spLocks xmlns:a="http://schemas.openxmlformats.org/drawingml/2006/main" noChangeArrowheads="1"/>
        </cdr:cNvSpPr>
      </cdr:nvSpPr>
      <cdr:spPr bwMode="auto">
        <a:xfrm xmlns:a="http://schemas.openxmlformats.org/drawingml/2006/main">
          <a:off x="2344503" y="321177"/>
          <a:ext cx="304205" cy="34310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307B5292-8F70-4DB1-ADF7-871849575BCE}" type="TxLink">
            <a:rPr lang="en-AU" sz="800" b="0" i="0" u="none" strike="noStrike" baseline="0">
              <a:solidFill>
                <a:srgbClr val="000000"/>
              </a:solidFill>
              <a:latin typeface="Arial"/>
              <a:cs typeface="Arial"/>
            </a:rPr>
            <a:pPr algn="l" rtl="0">
              <a:defRPr sz="1000"/>
            </a:pPr>
            <a:t>52</a:t>
          </a:fld>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0.8389</cdr:x>
      <cdr:y>0.16258</cdr:y>
    </cdr:from>
    <cdr:to>
      <cdr:x>0.9794</cdr:x>
      <cdr:y>0.2883</cdr:y>
    </cdr:to>
    <cdr:sp macro="" textlink="">
      <cdr:nvSpPr>
        <cdr:cNvPr id="100357" name="Text 1"/>
        <cdr:cNvSpPr txBox="1">
          <a:spLocks xmlns:a="http://schemas.openxmlformats.org/drawingml/2006/main" noChangeArrowheads="1"/>
        </cdr:cNvSpPr>
      </cdr:nvSpPr>
      <cdr:spPr bwMode="auto">
        <a:xfrm xmlns:a="http://schemas.openxmlformats.org/drawingml/2006/main">
          <a:off x="4250042" y="429485"/>
          <a:ext cx="619360" cy="40003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Temp. (oC)</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userShapes>
</file>

<file path=xl/drawings/drawing22.xml><?xml version="1.0" encoding="utf-8"?>
<xdr:wsDr xmlns:xdr="http://schemas.openxmlformats.org/drawingml/2006/spreadsheetDrawing" xmlns:a="http://schemas.openxmlformats.org/drawingml/2006/main">
  <xdr:twoCellAnchor>
    <xdr:from>
      <xdr:col>0</xdr:col>
      <xdr:colOff>0</xdr:colOff>
      <xdr:row>35</xdr:row>
      <xdr:rowOff>9525</xdr:rowOff>
    </xdr:from>
    <xdr:to>
      <xdr:col>14</xdr:col>
      <xdr:colOff>533400</xdr:colOff>
      <xdr:row>69</xdr:row>
      <xdr:rowOff>9525</xdr:rowOff>
    </xdr:to>
    <xdr:graphicFrame macro="">
      <xdr:nvGraphicFramePr>
        <xdr:cNvPr id="13722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xdr:colOff>
      <xdr:row>69</xdr:row>
      <xdr:rowOff>19050</xdr:rowOff>
    </xdr:from>
    <xdr:to>
      <xdr:col>14</xdr:col>
      <xdr:colOff>495300</xdr:colOff>
      <xdr:row>103</xdr:row>
      <xdr:rowOff>28575</xdr:rowOff>
    </xdr:to>
    <xdr:graphicFrame macro="">
      <xdr:nvGraphicFramePr>
        <xdr:cNvPr id="13722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c:userShapes xmlns:c="http://schemas.openxmlformats.org/drawingml/2006/chart">
  <cdr:relSizeAnchor xmlns:cdr="http://schemas.openxmlformats.org/drawingml/2006/chartDrawing">
    <cdr:from>
      <cdr:x>0.91422</cdr:x>
      <cdr:y>0.02166</cdr:y>
    </cdr:from>
    <cdr:to>
      <cdr:x>0.98078</cdr:x>
      <cdr:y>0.11846</cdr:y>
    </cdr:to>
    <cdr:sp macro="" textlink="">
      <cdr:nvSpPr>
        <cdr:cNvPr id="11265" name="Text 1"/>
        <cdr:cNvSpPr txBox="1">
          <a:spLocks xmlns:a="http://schemas.openxmlformats.org/drawingml/2006/main" noChangeArrowheads="1"/>
        </cdr:cNvSpPr>
      </cdr:nvSpPr>
      <cdr:spPr bwMode="auto">
        <a:xfrm xmlns:a="http://schemas.openxmlformats.org/drawingml/2006/main">
          <a:off x="8510805" y="122611"/>
          <a:ext cx="619418" cy="533843"/>
        </a:xfrm>
        <a:prstGeom xmlns:a="http://schemas.openxmlformats.org/drawingml/2006/main" prst="rect">
          <a:avLst/>
        </a:prstGeom>
        <a:noFill xmlns:a="http://schemas.openxmlformats.org/drawingml/2006/main"/>
        <a:ln xmlns:a="http://schemas.openxmlformats.org/drawingml/2006/main" w="1">
          <a:solidFill>
            <a:srgbClr val="000000"/>
          </a:solid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1000" b="0" i="0" u="none" strike="noStrike" baseline="0">
              <a:solidFill>
                <a:srgbClr val="000000"/>
              </a:solidFill>
              <a:latin typeface="Arial"/>
              <a:cs typeface="Arial"/>
            </a:rPr>
            <a:t>Retention Time (days)</a:t>
          </a:r>
        </a:p>
        <a:p xmlns:a="http://schemas.openxmlformats.org/drawingml/2006/main">
          <a:pPr algn="ctr" rtl="0">
            <a:defRPr sz="1000"/>
          </a:pPr>
          <a:endParaRPr lang="en-AU" sz="1000" b="0" i="0" u="none" strike="noStrike" baseline="0">
            <a:solidFill>
              <a:srgbClr val="000000"/>
            </a:solidFill>
            <a:latin typeface="Arial"/>
            <a:cs typeface="Arial"/>
          </a:endParaRPr>
        </a:p>
      </cdr:txBody>
    </cdr:sp>
  </cdr:relSizeAnchor>
  <cdr:relSizeAnchor xmlns:cdr="http://schemas.openxmlformats.org/drawingml/2006/chartDrawing">
    <cdr:from>
      <cdr:x>0.35253</cdr:x>
      <cdr:y>0.06465</cdr:y>
    </cdr:from>
    <cdr:to>
      <cdr:x>0.54083</cdr:x>
      <cdr:y>0.10789</cdr:y>
    </cdr:to>
    <cdr:sp macro="" textlink="">
      <cdr:nvSpPr>
        <cdr:cNvPr id="11266" name="Text 2"/>
        <cdr:cNvSpPr txBox="1">
          <a:spLocks xmlns:a="http://schemas.openxmlformats.org/drawingml/2006/main" noChangeArrowheads="1"/>
        </cdr:cNvSpPr>
      </cdr:nvSpPr>
      <cdr:spPr bwMode="auto">
        <a:xfrm xmlns:a="http://schemas.openxmlformats.org/drawingml/2006/main">
          <a:off x="3283747" y="359724"/>
          <a:ext cx="1752331" cy="23846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Volatile Solids             (kgm</a:t>
          </a:r>
          <a:r>
            <a:rPr lang="en-AU" sz="1000" b="0" i="0" u="none" strike="noStrike" baseline="30000">
              <a:solidFill>
                <a:srgbClr val="000000"/>
              </a:solidFill>
              <a:latin typeface="Arial"/>
              <a:cs typeface="Arial"/>
            </a:rPr>
            <a:t>-3</a:t>
          </a:r>
          <a:r>
            <a:rPr lang="en-AU" sz="1000" b="0" i="0" u="none" strike="noStrike" baseline="0">
              <a:solidFill>
                <a:srgbClr val="000000"/>
              </a:solidFill>
              <a:latin typeface="Arial"/>
              <a:cs typeface="Arial"/>
            </a:rPr>
            <a:t>)</a:t>
          </a:r>
        </a:p>
      </cdr:txBody>
    </cdr:sp>
  </cdr:relSizeAnchor>
  <cdr:relSizeAnchor xmlns:cdr="http://schemas.openxmlformats.org/drawingml/2006/chartDrawing">
    <cdr:from>
      <cdr:x>0.54206</cdr:x>
      <cdr:y>0.06342</cdr:y>
    </cdr:from>
    <cdr:to>
      <cdr:x>0.58413</cdr:x>
      <cdr:y>0.09462</cdr:y>
    </cdr:to>
    <cdr:sp macro="" textlink="'Temp&amp;RT'!$B$30">
      <cdr:nvSpPr>
        <cdr:cNvPr id="11267" name="Text 3"/>
        <cdr:cNvSpPr txBox="1">
          <a:spLocks xmlns:a="http://schemas.openxmlformats.org/drawingml/2006/main" noChangeArrowheads="1"/>
        </cdr:cNvSpPr>
      </cdr:nvSpPr>
      <cdr:spPr bwMode="auto">
        <a:xfrm xmlns:a="http://schemas.openxmlformats.org/drawingml/2006/main">
          <a:off x="5047591" y="352950"/>
          <a:ext cx="391454" cy="17207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B6C3E919-F610-433A-84E3-246178BC758A}" type="TxLink">
            <a:rPr lang="en-AU" sz="1000" b="0" i="0" u="none" strike="noStrike" baseline="0">
              <a:solidFill>
                <a:srgbClr val="000000"/>
              </a:solidFill>
              <a:latin typeface="Arial"/>
              <a:cs typeface="Arial"/>
            </a:rPr>
            <a:pPr algn="l" rtl="0">
              <a:defRPr sz="1000"/>
            </a:pPr>
            <a:t>52</a:t>
          </a:fld>
          <a:endParaRPr lang="en-AU" sz="1000" b="0" i="0" u="none" strike="noStrike" baseline="0">
            <a:solidFill>
              <a:srgbClr val="000000"/>
            </a:solidFill>
            <a:latin typeface="Arial"/>
            <a:cs typeface="Arial"/>
          </a:endParaRPr>
        </a:p>
      </cdr:txBody>
    </cdr:sp>
  </cdr:relSizeAnchor>
</c:userShapes>
</file>

<file path=xl/drawings/drawing24.xml><?xml version="1.0" encoding="utf-8"?>
<c:userShapes xmlns:c="http://schemas.openxmlformats.org/drawingml/2006/chart">
  <cdr:relSizeAnchor xmlns:cdr="http://schemas.openxmlformats.org/drawingml/2006/chartDrawing">
    <cdr:from>
      <cdr:x>0.90257</cdr:x>
      <cdr:y>0.02164</cdr:y>
    </cdr:from>
    <cdr:to>
      <cdr:x>0.96937</cdr:x>
      <cdr:y>0.1182</cdr:y>
    </cdr:to>
    <cdr:sp macro="" textlink="">
      <cdr:nvSpPr>
        <cdr:cNvPr id="12289" name="Text 1"/>
        <cdr:cNvSpPr txBox="1">
          <a:spLocks xmlns:a="http://schemas.openxmlformats.org/drawingml/2006/main" noChangeArrowheads="1"/>
        </cdr:cNvSpPr>
      </cdr:nvSpPr>
      <cdr:spPr bwMode="auto">
        <a:xfrm xmlns:a="http://schemas.openxmlformats.org/drawingml/2006/main">
          <a:off x="8359396" y="122738"/>
          <a:ext cx="618505" cy="533423"/>
        </a:xfrm>
        <a:prstGeom xmlns:a="http://schemas.openxmlformats.org/drawingml/2006/main" prst="rect">
          <a:avLst/>
        </a:prstGeom>
        <a:noFill xmlns:a="http://schemas.openxmlformats.org/drawingml/2006/main"/>
        <a:ln xmlns:a="http://schemas.openxmlformats.org/drawingml/2006/main" w="1">
          <a:solidFill>
            <a:srgbClr val="000000"/>
          </a:solid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1000" b="0" i="0" u="none" strike="noStrike" baseline="0">
              <a:solidFill>
                <a:srgbClr val="000000"/>
              </a:solidFill>
              <a:latin typeface="Arial"/>
              <a:cs typeface="Arial"/>
            </a:rPr>
            <a:t>Retention Time (days)</a:t>
          </a:r>
        </a:p>
        <a:p xmlns:a="http://schemas.openxmlformats.org/drawingml/2006/main">
          <a:pPr algn="ctr" rtl="0">
            <a:defRPr sz="1000"/>
          </a:pPr>
          <a:endParaRPr lang="en-AU" sz="1000" b="0" i="0" u="none" strike="noStrike" baseline="0">
            <a:solidFill>
              <a:srgbClr val="000000"/>
            </a:solidFill>
            <a:latin typeface="Arial"/>
            <a:cs typeface="Arial"/>
          </a:endParaRPr>
        </a:p>
      </cdr:txBody>
    </cdr:sp>
  </cdr:relSizeAnchor>
  <cdr:relSizeAnchor xmlns:cdr="http://schemas.openxmlformats.org/drawingml/2006/chartDrawing">
    <cdr:from>
      <cdr:x>0.34956</cdr:x>
      <cdr:y>0.06341</cdr:y>
    </cdr:from>
    <cdr:to>
      <cdr:x>0.53885</cdr:x>
      <cdr:y>0.10641</cdr:y>
    </cdr:to>
    <cdr:sp macro="" textlink="">
      <cdr:nvSpPr>
        <cdr:cNvPr id="12290" name="Text 2"/>
        <cdr:cNvSpPr txBox="1">
          <a:spLocks xmlns:a="http://schemas.openxmlformats.org/drawingml/2006/main" noChangeArrowheads="1"/>
        </cdr:cNvSpPr>
      </cdr:nvSpPr>
      <cdr:spPr bwMode="auto">
        <a:xfrm xmlns:a="http://schemas.openxmlformats.org/drawingml/2006/main">
          <a:off x="3239541" y="353481"/>
          <a:ext cx="1752434" cy="23752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Volatile Solids             (kgm</a:t>
          </a:r>
          <a:r>
            <a:rPr lang="en-AU" sz="1000" b="0" i="0" u="none" strike="noStrike" baseline="30000">
              <a:solidFill>
                <a:srgbClr val="000000"/>
              </a:solidFill>
              <a:latin typeface="Arial"/>
              <a:cs typeface="Arial"/>
            </a:rPr>
            <a:t>-3</a:t>
          </a:r>
          <a:r>
            <a:rPr lang="en-AU" sz="1000" b="0" i="0" u="none" strike="noStrike" baseline="0">
              <a:solidFill>
                <a:srgbClr val="000000"/>
              </a:solidFill>
              <a:latin typeface="Arial"/>
              <a:cs typeface="Arial"/>
            </a:rPr>
            <a:t>)</a:t>
          </a:r>
        </a:p>
      </cdr:txBody>
    </cdr:sp>
  </cdr:relSizeAnchor>
  <cdr:relSizeAnchor xmlns:cdr="http://schemas.openxmlformats.org/drawingml/2006/chartDrawing">
    <cdr:from>
      <cdr:x>0.54256</cdr:x>
      <cdr:y>0.06341</cdr:y>
    </cdr:from>
    <cdr:to>
      <cdr:x>0.58462</cdr:x>
      <cdr:y>0.11353</cdr:y>
    </cdr:to>
    <cdr:sp macro="" textlink="'Temp&amp;RT'!$B$30">
      <cdr:nvSpPr>
        <cdr:cNvPr id="12291" name="Text 3"/>
        <cdr:cNvSpPr txBox="1">
          <a:spLocks xmlns:a="http://schemas.openxmlformats.org/drawingml/2006/main" noChangeArrowheads="1"/>
        </cdr:cNvSpPr>
      </cdr:nvSpPr>
      <cdr:spPr bwMode="auto">
        <a:xfrm xmlns:a="http://schemas.openxmlformats.org/drawingml/2006/main">
          <a:off x="5026336" y="353481"/>
          <a:ext cx="389430" cy="27689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C17E9BEA-37AC-44BC-B2C2-8B53EDB56F8E}" type="TxLink">
            <a:rPr lang="en-AU" sz="1000" b="0" i="0" u="none" strike="noStrike" baseline="0">
              <a:solidFill>
                <a:srgbClr val="000000"/>
              </a:solidFill>
              <a:latin typeface="Arial"/>
              <a:cs typeface="Arial"/>
            </a:rPr>
            <a:pPr algn="l" rtl="0">
              <a:defRPr sz="1000"/>
            </a:pPr>
            <a:t>52</a:t>
          </a:fld>
          <a:endParaRPr lang="en-AU" sz="1000" b="0" i="0" u="none" strike="noStrike" baseline="0">
            <a:solidFill>
              <a:srgbClr val="000000"/>
            </a:solidFill>
            <a:latin typeface="Arial"/>
            <a:cs typeface="Arial"/>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Documents%20and%20Settings/a1065965/Application%20Data/Microsoft/Excel/DigCalcReport.doc"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hyperlink" Target="https://www.alibaba.com/product-detail/submersible-sewage-pump-sludge-pump-mud_60262469462.html?spm=a2700.7724838.0.0.9EOCcU&amp;s=p" TargetMode="External"/><Relationship Id="rId2" Type="http://schemas.openxmlformats.org/officeDocument/2006/relationships/hyperlink" Target="https://www.alibaba.com/product-detail/Landfill-gas-power-plant-1mw-biogas_60357809936.html?spm=a2700.7724857.0.0.daQfz7&amp;s=p" TargetMode="External"/><Relationship Id="rId1" Type="http://schemas.openxmlformats.org/officeDocument/2006/relationships/hyperlink" Target="https://www.alibaba.com/product-detail/Food-waste-crusher_60460530717.html?spm=a2700.7724857.0.0.eDkeFA&amp;s=p" TargetMode="Externa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4.xml"/><Relationship Id="rId2" Type="http://schemas.openxmlformats.org/officeDocument/2006/relationships/drawing" Target="../drawings/drawing1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19.xml"/><Relationship Id="rId1" Type="http://schemas.openxmlformats.org/officeDocument/2006/relationships/printerSettings" Target="../printerSettings/printerSettings10.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23"/>
  <sheetViews>
    <sheetView topLeftCell="A14" zoomScale="95" workbookViewId="0">
      <selection activeCell="C37" sqref="C37"/>
    </sheetView>
  </sheetViews>
  <sheetFormatPr defaultRowHeight="12.75" x14ac:dyDescent="0.2"/>
  <cols>
    <col min="1" max="1" width="128.140625" customWidth="1"/>
  </cols>
  <sheetData>
    <row r="1" spans="1:1" ht="30" x14ac:dyDescent="0.4">
      <c r="A1" s="19" t="s">
        <v>0</v>
      </c>
    </row>
    <row r="2" spans="1:1" x14ac:dyDescent="0.2">
      <c r="A2" s="211" t="s">
        <v>270</v>
      </c>
    </row>
    <row r="3" spans="1:1" x14ac:dyDescent="0.2">
      <c r="A3" s="18"/>
    </row>
    <row r="4" spans="1:1" ht="15" x14ac:dyDescent="0.2">
      <c r="A4" s="51" t="s">
        <v>199</v>
      </c>
    </row>
    <row r="5" spans="1:1" ht="15" x14ac:dyDescent="0.2">
      <c r="A5" s="99" t="s">
        <v>200</v>
      </c>
    </row>
    <row r="6" spans="1:1" ht="15" x14ac:dyDescent="0.2">
      <c r="A6" s="100" t="s">
        <v>220</v>
      </c>
    </row>
    <row r="7" spans="1:1" ht="15" x14ac:dyDescent="0.2">
      <c r="A7" s="39"/>
    </row>
    <row r="8" spans="1:1" ht="15" x14ac:dyDescent="0.2">
      <c r="A8" s="39" t="s">
        <v>4</v>
      </c>
    </row>
    <row r="9" spans="1:1" x14ac:dyDescent="0.2">
      <c r="A9" s="40" t="s">
        <v>7</v>
      </c>
    </row>
    <row r="10" spans="1:1" ht="30" x14ac:dyDescent="0.2">
      <c r="A10" s="54" t="s">
        <v>111</v>
      </c>
    </row>
    <row r="11" spans="1:1" x14ac:dyDescent="0.2">
      <c r="A11" s="40"/>
    </row>
    <row r="12" spans="1:1" ht="30" x14ac:dyDescent="0.2">
      <c r="A12" s="54" t="s">
        <v>110</v>
      </c>
    </row>
    <row r="13" spans="1:1" ht="15" x14ac:dyDescent="0.2">
      <c r="A13" s="54"/>
    </row>
    <row r="14" spans="1:1" ht="25.5" x14ac:dyDescent="0.2">
      <c r="A14" s="84" t="s">
        <v>224</v>
      </c>
    </row>
    <row r="15" spans="1:1" ht="25.5" x14ac:dyDescent="0.2">
      <c r="A15" s="82" t="s">
        <v>201</v>
      </c>
    </row>
    <row r="16" spans="1:1" ht="15" x14ac:dyDescent="0.2">
      <c r="A16" s="39"/>
    </row>
    <row r="17" spans="1:1" ht="25.5" x14ac:dyDescent="0.2">
      <c r="A17" s="84" t="s">
        <v>210</v>
      </c>
    </row>
    <row r="18" spans="1:1" ht="15" x14ac:dyDescent="0.2">
      <c r="A18" s="39"/>
    </row>
    <row r="19" spans="1:1" ht="25.5" x14ac:dyDescent="0.2">
      <c r="A19" s="85" t="s">
        <v>203</v>
      </c>
    </row>
    <row r="20" spans="1:1" ht="15" x14ac:dyDescent="0.2">
      <c r="A20" s="39"/>
    </row>
    <row r="21" spans="1:1" ht="25.5" x14ac:dyDescent="0.2">
      <c r="A21" s="82" t="s">
        <v>10</v>
      </c>
    </row>
    <row r="22" spans="1:1" ht="15" x14ac:dyDescent="0.2">
      <c r="A22" s="39"/>
    </row>
    <row r="23" spans="1:1" ht="15" x14ac:dyDescent="0.2">
      <c r="A23" s="39" t="s">
        <v>11</v>
      </c>
    </row>
  </sheetData>
  <sheetProtection sheet="1" objects="1" scenarios="1"/>
  <phoneticPr fontId="3" type="noConversion"/>
  <hyperlinks>
    <hyperlink ref="A14" location="Calculator!A14" display="Most inputs are taken from the Calculator sheet, where you can vary the values of Retention Time and Volatile Solids (by changing the dilution rate).  "/>
    <hyperlink ref="A15" location="'Temp&amp;RT'!A1" display="The workbook is set up so you can vary the mid value of Temperature and the step size of each main variable from the Temp&amp;RT, VS&amp;RT, Temp&amp;VS and RT&amp;Temp sheets and all the other sheets are altered automatically."/>
    <hyperlink ref="A17" location="CFST!A1" display="The Minimum, Middle and Maximum values of each variable are used to give the &quot;step&quot; values for the &quot;secondary&quot; variable in each case, and the Digester Design sheet works off the middle values."/>
    <hyperlink ref="A19" location="CFST!A1" display="On the CFST sheet either the volume of effluent added per day or the digester volume (which can also be specified by height and diameter) must be entered and either height or diameter must be entered, the other values being obtained by calculation."/>
    <hyperlink ref="A21" location="'Costing (Temp &amp; RT)'!A1" display="The Costing sheet has two graphs, one showing the variation of  Gas Cost and Nett Gas Production with temperature at three retention times and the other showing how Digester Cost and Gross Gas Production vary with temperature, at three retention times."/>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48"/>
  <sheetViews>
    <sheetView zoomScale="79" zoomScaleNormal="79" workbookViewId="0">
      <pane ySplit="7" topLeftCell="A11" activePane="bottomLeft" state="frozen"/>
      <selection activeCell="B9" sqref="B9"/>
      <selection pane="bottomLeft" activeCell="B10" sqref="B10"/>
    </sheetView>
  </sheetViews>
  <sheetFormatPr defaultRowHeight="12.75" x14ac:dyDescent="0.2"/>
  <cols>
    <col min="1" max="1" width="33.7109375" customWidth="1"/>
    <col min="2" max="2" width="15.7109375" style="65" bestFit="1" customWidth="1"/>
    <col min="3" max="3" width="25.7109375" customWidth="1"/>
    <col min="4" max="4" width="13.140625" customWidth="1"/>
    <col min="5" max="5" width="16.140625" customWidth="1"/>
    <col min="7" max="7" width="10.7109375" customWidth="1"/>
    <col min="8" max="13" width="6.7109375" customWidth="1"/>
    <col min="14" max="14" width="7.85546875" customWidth="1"/>
    <col min="15" max="15" width="8.28515625" customWidth="1"/>
    <col min="16" max="16" width="6.7109375" customWidth="1"/>
    <col min="17" max="17" width="9" customWidth="1"/>
    <col min="20" max="20" width="18" customWidth="1"/>
  </cols>
  <sheetData>
    <row r="1" spans="1:16" ht="13.5" thickBot="1" x14ac:dyDescent="0.25">
      <c r="A1" s="14" t="s">
        <v>114</v>
      </c>
      <c r="B1" s="50"/>
      <c r="C1" s="211" t="s">
        <v>270</v>
      </c>
      <c r="E1" s="282" t="s">
        <v>215</v>
      </c>
      <c r="F1" s="283"/>
      <c r="G1" s="284"/>
    </row>
    <row r="3" spans="1:16" ht="13.5" thickBot="1" x14ac:dyDescent="0.25">
      <c r="A3" s="59" t="s">
        <v>193</v>
      </c>
      <c r="B3" s="94"/>
      <c r="C3" s="212" t="s">
        <v>115</v>
      </c>
      <c r="O3" s="17"/>
      <c r="P3" s="17"/>
    </row>
    <row r="4" spans="1:16" ht="13.5" thickBot="1" x14ac:dyDescent="0.25">
      <c r="A4" t="s">
        <v>116</v>
      </c>
      <c r="B4" s="61" t="str">
        <f>VLOOKUP(T20,$E$22:$N$37,2)</f>
        <v>MSW</v>
      </c>
      <c r="C4" s="164" t="s">
        <v>233</v>
      </c>
      <c r="E4" s="158" t="s">
        <v>145</v>
      </c>
      <c r="F4" s="158"/>
      <c r="G4" s="158"/>
    </row>
    <row r="5" spans="1:16" x14ac:dyDescent="0.2">
      <c r="A5" s="97"/>
      <c r="B5" s="245"/>
      <c r="C5" s="97"/>
      <c r="E5" s="162" t="s">
        <v>148</v>
      </c>
      <c r="F5" s="162"/>
      <c r="G5" s="162"/>
    </row>
    <row r="6" spans="1:16" x14ac:dyDescent="0.2">
      <c r="A6" s="97"/>
      <c r="B6" s="98"/>
      <c r="C6" s="97"/>
    </row>
    <row r="7" spans="1:16" x14ac:dyDescent="0.2">
      <c r="A7" s="97"/>
      <c r="B7" s="61"/>
      <c r="C7" s="97"/>
    </row>
    <row r="8" spans="1:16" x14ac:dyDescent="0.2">
      <c r="A8" s="256" t="s">
        <v>289</v>
      </c>
      <c r="B8" s="61"/>
      <c r="C8" s="97"/>
    </row>
    <row r="9" spans="1:16" x14ac:dyDescent="0.2">
      <c r="A9" s="246" t="s">
        <v>271</v>
      </c>
      <c r="B9" s="247">
        <v>209000</v>
      </c>
      <c r="C9" s="246" t="s">
        <v>272</v>
      </c>
      <c r="D9" s="248"/>
      <c r="E9" s="249"/>
      <c r="F9" s="250" t="s">
        <v>273</v>
      </c>
      <c r="G9" s="246"/>
      <c r="K9" s="260"/>
    </row>
    <row r="10" spans="1:16" x14ac:dyDescent="0.2">
      <c r="A10" s="246" t="s">
        <v>274</v>
      </c>
      <c r="B10" s="251">
        <v>0.63</v>
      </c>
      <c r="C10" s="246" t="s">
        <v>196</v>
      </c>
      <c r="D10" s="248"/>
      <c r="E10" s="252" t="s">
        <v>118</v>
      </c>
      <c r="F10" s="250">
        <v>70</v>
      </c>
      <c r="G10" s="246" t="s">
        <v>275</v>
      </c>
      <c r="I10">
        <v>70</v>
      </c>
      <c r="J10">
        <v>92</v>
      </c>
    </row>
    <row r="11" spans="1:16" x14ac:dyDescent="0.2">
      <c r="A11" s="246" t="s">
        <v>276</v>
      </c>
      <c r="B11" s="247">
        <f>B9*B10</f>
        <v>131670</v>
      </c>
      <c r="C11" s="246" t="s">
        <v>272</v>
      </c>
      <c r="D11" s="248"/>
      <c r="E11" s="252" t="s">
        <v>119</v>
      </c>
      <c r="F11" s="250">
        <v>55.6</v>
      </c>
      <c r="G11" s="246" t="s">
        <v>275</v>
      </c>
      <c r="I11">
        <v>55.6</v>
      </c>
      <c r="J11">
        <v>79.400000000000006</v>
      </c>
      <c r="K11" s="260"/>
    </row>
    <row r="12" spans="1:16" x14ac:dyDescent="0.2">
      <c r="A12" s="246" t="s">
        <v>277</v>
      </c>
      <c r="B12" s="247">
        <f>B9-B11</f>
        <v>77330</v>
      </c>
      <c r="C12" s="246" t="s">
        <v>272</v>
      </c>
      <c r="D12" s="248"/>
      <c r="E12" s="252" t="s">
        <v>278</v>
      </c>
      <c r="F12" s="250">
        <v>3</v>
      </c>
      <c r="G12" s="246" t="s">
        <v>196</v>
      </c>
      <c r="M12" t="s">
        <v>336</v>
      </c>
      <c r="N12">
        <f>(415*F14/100)+(496*F13/100)+(1014*F12/100)</f>
        <v>337.67500000000001</v>
      </c>
    </row>
    <row r="13" spans="1:16" x14ac:dyDescent="0.2">
      <c r="A13" s="246" t="s">
        <v>279</v>
      </c>
      <c r="B13" s="253">
        <f>F10*100/1000</f>
        <v>7</v>
      </c>
      <c r="C13" s="246" t="s">
        <v>196</v>
      </c>
      <c r="D13" s="248"/>
      <c r="E13" s="252" t="s">
        <v>280</v>
      </c>
      <c r="F13" s="250">
        <v>13</v>
      </c>
      <c r="G13" s="246" t="s">
        <v>196</v>
      </c>
      <c r="I13">
        <f>I11/I10</f>
        <v>0.79428571428571426</v>
      </c>
      <c r="J13">
        <f>J11/J10</f>
        <v>0.86304347826086958</v>
      </c>
      <c r="M13" t="s">
        <v>299</v>
      </c>
      <c r="N13">
        <f>'CFST Modified'!B25*'CFST Modified'!B26*24*365/(B20*365)</f>
        <v>3.4790617663569026</v>
      </c>
    </row>
    <row r="14" spans="1:16" x14ac:dyDescent="0.2">
      <c r="A14" s="246" t="s">
        <v>281</v>
      </c>
      <c r="B14" s="247">
        <f>(F17*1070)-B11-B12</f>
        <v>973044.28571428568</v>
      </c>
      <c r="C14" s="246" t="s">
        <v>272</v>
      </c>
      <c r="D14" s="248"/>
      <c r="E14" s="252" t="s">
        <v>282</v>
      </c>
      <c r="F14" s="250">
        <v>58.5</v>
      </c>
      <c r="G14" s="246" t="s">
        <v>196</v>
      </c>
    </row>
    <row r="15" spans="1:16" x14ac:dyDescent="0.2">
      <c r="A15" s="246" t="s">
        <v>283</v>
      </c>
      <c r="B15" s="274">
        <f>F17</f>
        <v>1104.7142857142858</v>
      </c>
      <c r="C15" s="246" t="s">
        <v>355</v>
      </c>
      <c r="D15" s="248"/>
      <c r="E15" s="252" t="s">
        <v>127</v>
      </c>
      <c r="F15" s="254">
        <f>F11/F10</f>
        <v>0.79428571428571426</v>
      </c>
      <c r="G15" s="246" t="s">
        <v>284</v>
      </c>
    </row>
    <row r="16" spans="1:16" ht="14.25" x14ac:dyDescent="0.2">
      <c r="A16" s="246" t="s">
        <v>285</v>
      </c>
      <c r="B16" s="247">
        <v>1000</v>
      </c>
      <c r="C16" s="246" t="s">
        <v>286</v>
      </c>
      <c r="D16" s="248"/>
      <c r="E16" s="246"/>
      <c r="F16" s="246"/>
      <c r="G16" s="246"/>
    </row>
    <row r="17" spans="1:22" ht="14.25" x14ac:dyDescent="0.2">
      <c r="A17" s="246" t="s">
        <v>287</v>
      </c>
      <c r="B17" s="247">
        <f>B15/B16</f>
        <v>1.1047142857142858</v>
      </c>
      <c r="C17" s="246"/>
      <c r="D17" s="248"/>
      <c r="E17" s="252" t="s">
        <v>288</v>
      </c>
      <c r="F17" s="255">
        <f>B12/F10</f>
        <v>1104.7142857142858</v>
      </c>
      <c r="G17" s="246" t="s">
        <v>160</v>
      </c>
    </row>
    <row r="18" spans="1:22" ht="13.5" thickBot="1" x14ac:dyDescent="0.25">
      <c r="B18" s="61"/>
    </row>
    <row r="19" spans="1:22" ht="13.5" thickBot="1" x14ac:dyDescent="0.25">
      <c r="A19" s="59" t="s">
        <v>120</v>
      </c>
      <c r="B19" s="61"/>
      <c r="C19" s="164" t="s">
        <v>202</v>
      </c>
      <c r="H19" s="289" t="s">
        <v>254</v>
      </c>
      <c r="I19" s="290"/>
      <c r="J19" s="290"/>
      <c r="K19" s="290"/>
      <c r="L19" s="290"/>
      <c r="M19" s="291"/>
    </row>
    <row r="20" spans="1:22" s="44" customFormat="1" ht="13.5" thickBot="1" x14ac:dyDescent="0.25">
      <c r="A20" s="44" t="s">
        <v>216</v>
      </c>
      <c r="B20" s="140">
        <f>B9</f>
        <v>209000</v>
      </c>
      <c r="C20" s="44" t="s">
        <v>121</v>
      </c>
      <c r="E20" s="141"/>
      <c r="F20" s="142"/>
      <c r="G20" s="142"/>
      <c r="H20" s="286" t="s">
        <v>122</v>
      </c>
      <c r="I20" s="287"/>
      <c r="J20" s="287"/>
      <c r="K20" s="287"/>
      <c r="L20" s="287"/>
      <c r="M20" s="288"/>
      <c r="T20" s="55">
        <v>13</v>
      </c>
      <c r="U20" s="45">
        <f>VLOOKUP(T20,S22:U36,3)</f>
        <v>0.337675</v>
      </c>
      <c r="V20" s="46"/>
    </row>
    <row r="21" spans="1:22" s="44" customFormat="1" ht="13.5" thickBot="1" x14ac:dyDescent="0.25">
      <c r="A21" s="44" t="s">
        <v>217</v>
      </c>
      <c r="B21" s="61">
        <f>B12</f>
        <v>77330</v>
      </c>
      <c r="C21" s="44" t="s">
        <v>121</v>
      </c>
      <c r="E21" s="185" t="s">
        <v>123</v>
      </c>
      <c r="F21" s="143" t="s">
        <v>116</v>
      </c>
      <c r="G21" s="227" t="s">
        <v>262</v>
      </c>
      <c r="H21" s="144" t="s">
        <v>117</v>
      </c>
      <c r="I21" s="146" t="s">
        <v>118</v>
      </c>
      <c r="J21" s="146" t="s">
        <v>119</v>
      </c>
      <c r="K21" s="147" t="s">
        <v>124</v>
      </c>
      <c r="L21" s="146" t="s">
        <v>125</v>
      </c>
      <c r="M21" s="198" t="s">
        <v>27</v>
      </c>
      <c r="N21" s="228" t="s">
        <v>209</v>
      </c>
      <c r="O21" s="145" t="s">
        <v>126</v>
      </c>
      <c r="P21" s="198" t="s">
        <v>127</v>
      </c>
      <c r="Q21" s="185" t="s">
        <v>248</v>
      </c>
      <c r="T21" s="148" t="s">
        <v>222</v>
      </c>
      <c r="U21" s="148" t="s">
        <v>223</v>
      </c>
      <c r="V21" s="148" t="s">
        <v>193</v>
      </c>
    </row>
    <row r="22" spans="1:22" s="44" customFormat="1" x14ac:dyDescent="0.2">
      <c r="A22" s="44" t="s">
        <v>218</v>
      </c>
      <c r="B22" s="140">
        <f>B21*F15</f>
        <v>61422.114285714284</v>
      </c>
      <c r="C22" s="44" t="s">
        <v>121</v>
      </c>
      <c r="E22" s="195">
        <v>1</v>
      </c>
      <c r="F22" s="149" t="s">
        <v>3</v>
      </c>
      <c r="G22" s="150">
        <v>500</v>
      </c>
      <c r="H22" s="193">
        <v>86</v>
      </c>
      <c r="I22" s="150">
        <v>12</v>
      </c>
      <c r="J22" s="150">
        <v>10</v>
      </c>
      <c r="K22" s="150">
        <v>0.45</v>
      </c>
      <c r="L22" s="150">
        <v>9.4E-2</v>
      </c>
      <c r="M22" s="199">
        <v>0.28999999999999998</v>
      </c>
      <c r="N22" s="201">
        <v>35</v>
      </c>
      <c r="O22" s="205">
        <f t="shared" ref="O22:P27" si="0">I22/H22</f>
        <v>0.13953488372093023</v>
      </c>
      <c r="P22" s="206">
        <f t="shared" si="0"/>
        <v>0.83333333333333337</v>
      </c>
      <c r="Q22" s="184">
        <v>1.2</v>
      </c>
      <c r="S22" s="44">
        <v>1</v>
      </c>
      <c r="T22" s="44" t="s">
        <v>3</v>
      </c>
      <c r="U22" s="45">
        <v>0.2</v>
      </c>
      <c r="V22" s="151" t="s">
        <v>2</v>
      </c>
    </row>
    <row r="23" spans="1:22" s="44" customFormat="1" x14ac:dyDescent="0.2">
      <c r="B23" s="140"/>
      <c r="E23" s="196">
        <v>2</v>
      </c>
      <c r="F23" s="152" t="s">
        <v>1</v>
      </c>
      <c r="G23" s="153">
        <v>500</v>
      </c>
      <c r="H23" s="194">
        <v>58</v>
      </c>
      <c r="I23" s="153">
        <v>8.5</v>
      </c>
      <c r="J23" s="153">
        <v>7.2</v>
      </c>
      <c r="K23" s="153">
        <v>0.34</v>
      </c>
      <c r="L23" s="153">
        <v>9.1999999999999998E-2</v>
      </c>
      <c r="M23" s="200">
        <v>0.21</v>
      </c>
      <c r="N23" s="202">
        <v>65</v>
      </c>
      <c r="O23" s="207">
        <f t="shared" si="0"/>
        <v>0.14655172413793102</v>
      </c>
      <c r="P23" s="208">
        <f t="shared" si="0"/>
        <v>0.84705882352941175</v>
      </c>
      <c r="Q23" s="183">
        <v>1.2</v>
      </c>
      <c r="S23" s="44">
        <v>2</v>
      </c>
      <c r="T23" s="47" t="s">
        <v>1</v>
      </c>
      <c r="U23" s="48">
        <v>0.35</v>
      </c>
      <c r="V23" s="151" t="s">
        <v>2</v>
      </c>
    </row>
    <row r="24" spans="1:22" s="44" customFormat="1" x14ac:dyDescent="0.2">
      <c r="B24" s="140"/>
      <c r="E24" s="196">
        <v>3</v>
      </c>
      <c r="F24" s="152" t="s">
        <v>128</v>
      </c>
      <c r="G24" s="153">
        <v>40</v>
      </c>
      <c r="H24" s="194">
        <v>62</v>
      </c>
      <c r="I24" s="153">
        <v>5.2</v>
      </c>
      <c r="J24" s="153">
        <v>2.2999999999999998</v>
      </c>
      <c r="K24" s="153">
        <v>0.27</v>
      </c>
      <c r="L24" s="153">
        <v>6.6000000000000003E-2</v>
      </c>
      <c r="M24" s="200">
        <v>0.28000000000000003</v>
      </c>
      <c r="N24" s="202">
        <v>35</v>
      </c>
      <c r="O24" s="207">
        <f t="shared" si="0"/>
        <v>8.387096774193549E-2</v>
      </c>
      <c r="P24" s="208">
        <f t="shared" si="0"/>
        <v>0.44230769230769224</v>
      </c>
      <c r="Q24" s="183">
        <v>0</v>
      </c>
      <c r="S24" s="44">
        <v>3</v>
      </c>
      <c r="T24" s="44" t="s">
        <v>128</v>
      </c>
      <c r="U24" s="48">
        <v>0.2</v>
      </c>
      <c r="V24" s="151" t="s">
        <v>159</v>
      </c>
    </row>
    <row r="25" spans="1:22" s="44" customFormat="1" x14ac:dyDescent="0.2">
      <c r="B25" s="140"/>
      <c r="E25" s="196">
        <v>4</v>
      </c>
      <c r="F25" s="152" t="s">
        <v>129</v>
      </c>
      <c r="G25" s="153">
        <v>70</v>
      </c>
      <c r="H25" s="194">
        <v>84</v>
      </c>
      <c r="I25" s="153">
        <v>11</v>
      </c>
      <c r="J25" s="153">
        <v>8.5</v>
      </c>
      <c r="K25" s="153">
        <v>0.52</v>
      </c>
      <c r="L25" s="153">
        <v>0.18</v>
      </c>
      <c r="M25" s="200">
        <v>0.28999999999999998</v>
      </c>
      <c r="N25" s="202">
        <v>80</v>
      </c>
      <c r="O25" s="207">
        <f t="shared" si="0"/>
        <v>0.13095238095238096</v>
      </c>
      <c r="P25" s="208">
        <f t="shared" si="0"/>
        <v>0.77272727272727271</v>
      </c>
      <c r="Q25" s="183">
        <v>1</v>
      </c>
      <c r="S25" s="44">
        <v>4</v>
      </c>
      <c r="T25" s="44" t="s">
        <v>8</v>
      </c>
      <c r="U25" s="45">
        <v>0.45</v>
      </c>
      <c r="V25" s="151" t="s">
        <v>2</v>
      </c>
    </row>
    <row r="26" spans="1:22" s="44" customFormat="1" x14ac:dyDescent="0.2">
      <c r="B26" s="140"/>
      <c r="E26" s="196">
        <v>5</v>
      </c>
      <c r="F26" s="152" t="s">
        <v>130</v>
      </c>
      <c r="G26" s="153">
        <v>60</v>
      </c>
      <c r="H26" s="194">
        <v>40</v>
      </c>
      <c r="I26" s="153">
        <v>11</v>
      </c>
      <c r="J26" s="153">
        <v>9.1999999999999993</v>
      </c>
      <c r="K26" s="153">
        <v>0.42</v>
      </c>
      <c r="L26" s="153">
        <v>8.6999999999999994E-2</v>
      </c>
      <c r="M26" s="200">
        <v>0.32</v>
      </c>
      <c r="N26" s="202">
        <v>60</v>
      </c>
      <c r="O26" s="207">
        <f t="shared" si="0"/>
        <v>0.27500000000000002</v>
      </c>
      <c r="P26" s="208">
        <f t="shared" si="0"/>
        <v>0.83636363636363631</v>
      </c>
      <c r="Q26" s="183">
        <v>3.5</v>
      </c>
      <c r="S26" s="44">
        <v>5</v>
      </c>
      <c r="T26" s="44" t="s">
        <v>130</v>
      </c>
      <c r="U26" s="48">
        <v>0.35</v>
      </c>
      <c r="V26" s="151" t="s">
        <v>159</v>
      </c>
    </row>
    <row r="27" spans="1:22" s="44" customFormat="1" x14ac:dyDescent="0.2">
      <c r="A27" s="44" t="s">
        <v>32</v>
      </c>
      <c r="B27" s="140"/>
      <c r="E27" s="196">
        <v>6</v>
      </c>
      <c r="F27" s="152" t="s">
        <v>131</v>
      </c>
      <c r="G27" s="153">
        <v>50</v>
      </c>
      <c r="H27" s="194">
        <v>41</v>
      </c>
      <c r="I27" s="153">
        <v>13</v>
      </c>
      <c r="J27" s="153">
        <v>9.5</v>
      </c>
      <c r="K27" s="153">
        <v>0.45</v>
      </c>
      <c r="L27" s="153">
        <v>0.11</v>
      </c>
      <c r="M27" s="200">
        <v>0.31</v>
      </c>
      <c r="N27" s="203">
        <v>60</v>
      </c>
      <c r="O27" s="207">
        <f t="shared" ref="O27:O34" si="1">I27/H27</f>
        <v>0.31707317073170732</v>
      </c>
      <c r="P27" s="208">
        <f t="shared" si="0"/>
        <v>0.73076923076923073</v>
      </c>
      <c r="Q27" s="183">
        <v>3.5</v>
      </c>
      <c r="S27" s="44">
        <v>6</v>
      </c>
      <c r="T27" s="44" t="s">
        <v>131</v>
      </c>
      <c r="U27" s="48">
        <v>0.35</v>
      </c>
      <c r="V27" s="151" t="s">
        <v>159</v>
      </c>
    </row>
    <row r="28" spans="1:22" s="44" customFormat="1" x14ac:dyDescent="0.2">
      <c r="A28" s="44" t="s">
        <v>132</v>
      </c>
      <c r="B28" s="154">
        <f>'Temp&amp;RT'!J43*100</f>
        <v>52.154278857101687</v>
      </c>
      <c r="C28" s="44" t="s">
        <v>133</v>
      </c>
      <c r="E28" s="196">
        <v>7</v>
      </c>
      <c r="F28" s="152" t="s">
        <v>134</v>
      </c>
      <c r="G28" s="153">
        <v>400</v>
      </c>
      <c r="H28" s="194">
        <v>51</v>
      </c>
      <c r="I28" s="153">
        <v>15</v>
      </c>
      <c r="J28" s="153">
        <v>10</v>
      </c>
      <c r="K28" s="153">
        <v>0.3</v>
      </c>
      <c r="L28" s="153">
        <v>7.0999999999999994E-2</v>
      </c>
      <c r="M28" s="200">
        <v>0.25</v>
      </c>
      <c r="N28" s="202">
        <v>60</v>
      </c>
      <c r="O28" s="207">
        <f t="shared" si="1"/>
        <v>0.29411764705882354</v>
      </c>
      <c r="P28" s="208">
        <f t="shared" ref="P28:P34" si="2">J28/I28</f>
        <v>0.66666666666666663</v>
      </c>
      <c r="Q28" s="183">
        <v>2.7</v>
      </c>
      <c r="S28" s="44">
        <v>7</v>
      </c>
      <c r="T28" s="44" t="s">
        <v>134</v>
      </c>
      <c r="U28" s="48">
        <v>0.35</v>
      </c>
      <c r="V28" s="151" t="s">
        <v>159</v>
      </c>
    </row>
    <row r="29" spans="1:22" s="44" customFormat="1" ht="14.25" x14ac:dyDescent="0.2">
      <c r="A29" s="44" t="s">
        <v>135</v>
      </c>
      <c r="B29" s="140">
        <f>1.175*B46/B22</f>
        <v>0.26908767985611515</v>
      </c>
      <c r="C29" s="44" t="s">
        <v>253</v>
      </c>
      <c r="E29" s="196">
        <v>8</v>
      </c>
      <c r="F29" s="152" t="s">
        <v>138</v>
      </c>
      <c r="G29" s="153">
        <v>2.2000000000000002</v>
      </c>
      <c r="H29" s="194">
        <v>85</v>
      </c>
      <c r="I29" s="153">
        <v>22</v>
      </c>
      <c r="J29" s="153">
        <v>17</v>
      </c>
      <c r="K29" s="153">
        <v>0.84</v>
      </c>
      <c r="L29" s="153">
        <v>0.3</v>
      </c>
      <c r="M29" s="200">
        <v>0.3</v>
      </c>
      <c r="N29" s="202">
        <v>70</v>
      </c>
      <c r="O29" s="207">
        <f t="shared" si="1"/>
        <v>0.25882352941176473</v>
      </c>
      <c r="P29" s="208">
        <f t="shared" si="2"/>
        <v>0.77272727272727271</v>
      </c>
      <c r="Q29" s="183">
        <v>3</v>
      </c>
      <c r="S29" s="44">
        <v>8</v>
      </c>
      <c r="T29" s="47" t="s">
        <v>138</v>
      </c>
      <c r="U29" s="48">
        <v>0.39</v>
      </c>
      <c r="V29" s="151" t="s">
        <v>2</v>
      </c>
    </row>
    <row r="30" spans="1:22" s="44" customFormat="1" ht="14.25" x14ac:dyDescent="0.2">
      <c r="A30" s="44" t="s">
        <v>137</v>
      </c>
      <c r="B30" s="140">
        <f>B29*B28/100*B22</f>
        <v>8620.0249050248494</v>
      </c>
      <c r="C30" s="44" t="s">
        <v>160</v>
      </c>
      <c r="E30" s="196">
        <v>9</v>
      </c>
      <c r="F30" s="152" t="s">
        <v>136</v>
      </c>
      <c r="G30" s="153">
        <v>2</v>
      </c>
      <c r="H30" s="194">
        <v>64</v>
      </c>
      <c r="I30" s="153">
        <v>16</v>
      </c>
      <c r="J30" s="153">
        <v>12</v>
      </c>
      <c r="K30" s="153">
        <v>1.1000000000000001</v>
      </c>
      <c r="L30" s="153">
        <v>0.3</v>
      </c>
      <c r="M30" s="200">
        <v>0.4</v>
      </c>
      <c r="N30" s="202">
        <v>70</v>
      </c>
      <c r="O30" s="207">
        <f t="shared" si="1"/>
        <v>0.25</v>
      </c>
      <c r="P30" s="208">
        <f t="shared" si="2"/>
        <v>0.75</v>
      </c>
      <c r="Q30" s="183">
        <v>2.7</v>
      </c>
      <c r="S30" s="44">
        <v>9</v>
      </c>
      <c r="T30" s="47" t="s">
        <v>158</v>
      </c>
      <c r="U30" s="48">
        <v>0.39</v>
      </c>
      <c r="V30" s="151" t="s">
        <v>159</v>
      </c>
    </row>
    <row r="31" spans="1:22" s="44" customFormat="1" x14ac:dyDescent="0.2">
      <c r="A31" s="44" t="s">
        <v>139</v>
      </c>
      <c r="B31" s="155">
        <v>55</v>
      </c>
      <c r="E31" s="196">
        <v>10</v>
      </c>
      <c r="F31" s="152" t="s">
        <v>140</v>
      </c>
      <c r="G31" s="153">
        <v>8</v>
      </c>
      <c r="H31" s="194">
        <v>47</v>
      </c>
      <c r="I31" s="153">
        <v>12</v>
      </c>
      <c r="J31" s="153">
        <v>9.1</v>
      </c>
      <c r="K31" s="153">
        <v>0.62</v>
      </c>
      <c r="L31" s="153">
        <v>0.23</v>
      </c>
      <c r="M31" s="200">
        <v>0.24</v>
      </c>
      <c r="N31" s="202">
        <v>70</v>
      </c>
      <c r="O31" s="207">
        <f t="shared" si="1"/>
        <v>0.25531914893617019</v>
      </c>
      <c r="P31" s="208">
        <f t="shared" si="2"/>
        <v>0.7583333333333333</v>
      </c>
      <c r="Q31" s="183">
        <v>2.8</v>
      </c>
      <c r="S31" s="44">
        <v>10</v>
      </c>
      <c r="T31" s="44" t="s">
        <v>140</v>
      </c>
      <c r="U31" s="48">
        <v>0.39</v>
      </c>
      <c r="V31" s="151" t="s">
        <v>159</v>
      </c>
    </row>
    <row r="32" spans="1:22" s="44" customFormat="1" ht="16.5" thickBot="1" x14ac:dyDescent="0.35">
      <c r="A32" s="44" t="s">
        <v>214</v>
      </c>
      <c r="B32" s="140">
        <f>30*B30/B31</f>
        <v>4701.8317663771904</v>
      </c>
      <c r="C32" s="44" t="s">
        <v>160</v>
      </c>
      <c r="E32" s="197">
        <v>11</v>
      </c>
      <c r="F32" s="190" t="s">
        <v>141</v>
      </c>
      <c r="G32" s="191">
        <v>3</v>
      </c>
      <c r="H32" s="213">
        <v>110</v>
      </c>
      <c r="I32" s="191">
        <v>31</v>
      </c>
      <c r="J32" s="191">
        <v>19</v>
      </c>
      <c r="K32" s="191">
        <v>1.5</v>
      </c>
      <c r="L32" s="191">
        <v>0.54</v>
      </c>
      <c r="M32" s="214">
        <v>0.71</v>
      </c>
      <c r="N32" s="204">
        <v>70</v>
      </c>
      <c r="O32" s="209">
        <f t="shared" si="1"/>
        <v>0.2818181818181818</v>
      </c>
      <c r="P32" s="210">
        <f t="shared" si="2"/>
        <v>0.61290322580645162</v>
      </c>
      <c r="Q32" s="192">
        <v>2.4</v>
      </c>
      <c r="S32" s="44">
        <v>11</v>
      </c>
      <c r="T32" s="44" t="s">
        <v>141</v>
      </c>
      <c r="U32" s="48">
        <v>0.39</v>
      </c>
      <c r="V32" s="151" t="s">
        <v>159</v>
      </c>
    </row>
    <row r="33" spans="1:22" s="44" customFormat="1" ht="15" thickBot="1" x14ac:dyDescent="0.25">
      <c r="A33" s="156" t="s">
        <v>108</v>
      </c>
      <c r="B33" s="168">
        <f>B30*100/B31</f>
        <v>15672.772554590636</v>
      </c>
      <c r="C33" s="156" t="s">
        <v>160</v>
      </c>
      <c r="E33" s="215">
        <v>12</v>
      </c>
      <c r="F33" s="216" t="s">
        <v>257</v>
      </c>
      <c r="G33" s="217">
        <v>68</v>
      </c>
      <c r="H33" s="218">
        <v>8.5</v>
      </c>
      <c r="I33" s="217">
        <f>0.13/68*1000</f>
        <v>1.911764705882353</v>
      </c>
      <c r="J33" s="217">
        <f>I33*0.89</f>
        <v>1.7014705882352943</v>
      </c>
      <c r="K33" s="217" t="e">
        <f>NA()</f>
        <v>#N/A</v>
      </c>
      <c r="L33" s="217" t="e">
        <f>NA()</f>
        <v>#N/A</v>
      </c>
      <c r="M33" s="217" t="e">
        <f>NA()</f>
        <v>#N/A</v>
      </c>
      <c r="N33" s="219">
        <v>30</v>
      </c>
      <c r="O33" s="220">
        <f t="shared" si="1"/>
        <v>0.22491349480968859</v>
      </c>
      <c r="P33" s="221">
        <f t="shared" si="2"/>
        <v>0.89</v>
      </c>
      <c r="Q33" s="222">
        <v>3</v>
      </c>
      <c r="S33" s="44">
        <v>12</v>
      </c>
      <c r="T33" s="44" t="s">
        <v>255</v>
      </c>
      <c r="U33" s="48">
        <v>0.3</v>
      </c>
      <c r="V33" s="151" t="s">
        <v>159</v>
      </c>
    </row>
    <row r="34" spans="1:22" s="44" customFormat="1" ht="13.5" customHeight="1" thickBot="1" x14ac:dyDescent="0.25">
      <c r="A34" s="44" t="s">
        <v>142</v>
      </c>
      <c r="B34" s="140">
        <v>39</v>
      </c>
      <c r="C34" s="44" t="s">
        <v>161</v>
      </c>
      <c r="E34" s="197">
        <v>13</v>
      </c>
      <c r="F34" s="226" t="s">
        <v>259</v>
      </c>
      <c r="H34" s="44">
        <f>B20*F10/B21</f>
        <v>189.18918918918919</v>
      </c>
      <c r="I34" s="257">
        <f>F10</f>
        <v>70</v>
      </c>
      <c r="J34" s="257">
        <f>F11</f>
        <v>55.6</v>
      </c>
      <c r="N34" s="258">
        <v>60</v>
      </c>
      <c r="O34" s="220">
        <f t="shared" si="1"/>
        <v>0.37</v>
      </c>
      <c r="P34" s="221">
        <f t="shared" si="2"/>
        <v>0.79428571428571426</v>
      </c>
      <c r="Q34" s="259">
        <f>(B14)/(B9)</f>
        <v>4.6557142857142857</v>
      </c>
      <c r="S34" s="44">
        <v>13</v>
      </c>
      <c r="T34" s="47" t="s">
        <v>5</v>
      </c>
      <c r="U34" s="48">
        <f>N12/1000</f>
        <v>0.337675</v>
      </c>
      <c r="V34" s="151" t="s">
        <v>6</v>
      </c>
    </row>
    <row r="35" spans="1:22" s="44" customFormat="1" ht="13.5" thickBot="1" x14ac:dyDescent="0.25">
      <c r="A35" s="156" t="s">
        <v>143</v>
      </c>
      <c r="B35" s="157">
        <f>B34*B30</f>
        <v>336180.97129596915</v>
      </c>
      <c r="C35" s="156" t="s">
        <v>144</v>
      </c>
      <c r="E35" s="215">
        <v>14</v>
      </c>
      <c r="F35" s="226" t="s">
        <v>260</v>
      </c>
      <c r="S35" s="44">
        <v>14</v>
      </c>
      <c r="T35" s="47" t="s">
        <v>9</v>
      </c>
      <c r="U35" s="48">
        <v>0.40600000000000003</v>
      </c>
      <c r="V35" s="151" t="s">
        <v>6</v>
      </c>
    </row>
    <row r="36" spans="1:22" s="44" customFormat="1" ht="13.5" thickBot="1" x14ac:dyDescent="0.25">
      <c r="A36" s="156" t="s">
        <v>146</v>
      </c>
      <c r="B36" s="157">
        <f>B35/24/60/60*1000</f>
        <v>3890.9834640737172</v>
      </c>
      <c r="C36" s="156" t="s">
        <v>147</v>
      </c>
      <c r="E36" s="197">
        <v>15</v>
      </c>
      <c r="F36" s="226" t="s">
        <v>261</v>
      </c>
      <c r="S36" s="44">
        <v>15</v>
      </c>
      <c r="T36" s="47"/>
      <c r="U36" s="47"/>
      <c r="V36" s="47">
        <v>0.2</v>
      </c>
    </row>
    <row r="37" spans="1:22" s="44" customFormat="1" ht="13.5" thickBot="1" x14ac:dyDescent="0.25">
      <c r="A37" s="156" t="s">
        <v>98</v>
      </c>
      <c r="B37" s="157">
        <f>B36*D37/100</f>
        <v>972.74586601842918</v>
      </c>
      <c r="C37" s="156" t="s">
        <v>219</v>
      </c>
      <c r="D37" s="229">
        <v>25</v>
      </c>
      <c r="E37" s="215">
        <v>16</v>
      </c>
      <c r="I37" s="159"/>
      <c r="L37" s="223"/>
      <c r="S37" s="44">
        <v>16</v>
      </c>
    </row>
    <row r="38" spans="1:22" s="44" customFormat="1" x14ac:dyDescent="0.2">
      <c r="A38" s="44" t="s">
        <v>149</v>
      </c>
      <c r="B38" s="160">
        <f>26.1/1.45</f>
        <v>18</v>
      </c>
      <c r="C38" s="44" t="s">
        <v>150</v>
      </c>
      <c r="F38" s="224" t="s">
        <v>258</v>
      </c>
      <c r="S38" s="44">
        <v>17</v>
      </c>
    </row>
    <row r="39" spans="1:22" s="44" customFormat="1" x14ac:dyDescent="0.2">
      <c r="A39" s="156" t="s">
        <v>151</v>
      </c>
      <c r="B39" s="161">
        <f>B37*24*365*B38/100</f>
        <v>1533825.6815378589</v>
      </c>
      <c r="C39" s="156" t="s">
        <v>152</v>
      </c>
      <c r="I39" s="159"/>
    </row>
    <row r="40" spans="1:22" s="44" customFormat="1" x14ac:dyDescent="0.2">
      <c r="B40" s="163"/>
    </row>
    <row r="41" spans="1:22" s="44" customFormat="1" ht="13.5" thickBot="1" x14ac:dyDescent="0.25">
      <c r="A41" s="44" t="s">
        <v>153</v>
      </c>
      <c r="B41" s="163"/>
    </row>
    <row r="42" spans="1:22" s="44" customFormat="1" ht="13.5" thickBot="1" x14ac:dyDescent="0.25">
      <c r="A42" s="44" t="s">
        <v>154</v>
      </c>
      <c r="B42" s="175">
        <f>VLOOKUP($T$20,$E$22:$R$37,13)</f>
        <v>4.6557142857142857</v>
      </c>
      <c r="C42" s="44" t="s">
        <v>155</v>
      </c>
      <c r="D42" s="282" t="s">
        <v>233</v>
      </c>
      <c r="E42" s="283"/>
      <c r="F42" s="284"/>
    </row>
    <row r="43" spans="1:22" s="44" customFormat="1" ht="15" thickBot="1" x14ac:dyDescent="0.25">
      <c r="A43" s="156" t="s">
        <v>156</v>
      </c>
      <c r="B43" s="157">
        <f>B42*B20/1000+B20/1000</f>
        <v>1182.0442857142857</v>
      </c>
      <c r="C43" s="156" t="s">
        <v>160</v>
      </c>
    </row>
    <row r="44" spans="1:22" s="159" customFormat="1" ht="13.5" thickBot="1" x14ac:dyDescent="0.25">
      <c r="A44" s="159" t="s">
        <v>240</v>
      </c>
      <c r="B44" s="154">
        <f>IF(C44="Minimum",1,IF(C44="Maximum performance",2,IF(C44="Recommended",4,8)))</f>
        <v>4</v>
      </c>
      <c r="C44" s="182" t="s">
        <v>243</v>
      </c>
      <c r="D44" s="282" t="s">
        <v>233</v>
      </c>
      <c r="E44" s="283"/>
      <c r="F44" s="284"/>
      <c r="H44" s="285" t="s">
        <v>240</v>
      </c>
      <c r="I44" s="285"/>
      <c r="J44" s="285"/>
      <c r="K44" s="285"/>
    </row>
    <row r="45" spans="1:22" s="44" customFormat="1" x14ac:dyDescent="0.2">
      <c r="A45" s="44" t="s">
        <v>61</v>
      </c>
      <c r="B45" s="175">
        <f>INT(B44/'Temp&amp;RT'!E34*10+0.5)/10</f>
        <v>11.9</v>
      </c>
      <c r="C45" s="44" t="s">
        <v>102</v>
      </c>
      <c r="H45" s="176" t="s">
        <v>241</v>
      </c>
      <c r="I45" s="177"/>
      <c r="J45" s="178"/>
      <c r="K45" s="170">
        <v>1</v>
      </c>
    </row>
    <row r="46" spans="1:22" s="44" customFormat="1" ht="14.25" x14ac:dyDescent="0.2">
      <c r="A46" s="156" t="s">
        <v>36</v>
      </c>
      <c r="B46" s="157">
        <f>B43*B45</f>
        <v>14066.327000000001</v>
      </c>
      <c r="C46" s="156" t="s">
        <v>162</v>
      </c>
      <c r="H46" s="176" t="s">
        <v>242</v>
      </c>
      <c r="I46" s="177"/>
      <c r="J46" s="178"/>
      <c r="K46" s="153">
        <v>2</v>
      </c>
    </row>
    <row r="47" spans="1:22" s="44" customFormat="1" ht="14.25" x14ac:dyDescent="0.2">
      <c r="A47" s="158" t="s">
        <v>236</v>
      </c>
      <c r="B47" s="165"/>
      <c r="C47" s="166" t="s">
        <v>237</v>
      </c>
      <c r="H47" s="179" t="s">
        <v>243</v>
      </c>
      <c r="I47" s="180"/>
      <c r="J47" s="181"/>
      <c r="K47" s="169">
        <v>4</v>
      </c>
    </row>
    <row r="48" spans="1:22" s="44" customFormat="1" ht="14.25" x14ac:dyDescent="0.2">
      <c r="A48" s="156" t="s">
        <v>157</v>
      </c>
      <c r="B48" s="174">
        <f>INT(B22/B43*10+0.5)/10</f>
        <v>52</v>
      </c>
      <c r="C48" s="156" t="s">
        <v>234</v>
      </c>
      <c r="H48" s="176" t="s">
        <v>244</v>
      </c>
      <c r="I48" s="177"/>
      <c r="J48" s="178"/>
      <c r="K48" s="153">
        <v>8</v>
      </c>
    </row>
  </sheetData>
  <mergeCells count="6">
    <mergeCell ref="D44:F44"/>
    <mergeCell ref="E1:G1"/>
    <mergeCell ref="D42:F42"/>
    <mergeCell ref="H44:K44"/>
    <mergeCell ref="H20:M20"/>
    <mergeCell ref="H19:M19"/>
  </mergeCells>
  <phoneticPr fontId="0" type="noConversion"/>
  <hyperlinks>
    <hyperlink ref="E1" r:id="rId1"/>
    <hyperlink ref="D44:F44" location="ResponseSurfaceVSRT!I3" display="Return to Response Surface"/>
    <hyperlink ref="D42:F42" location="ResponseSurfaceVSRT!G3" display="Return to Response Surface"/>
    <hyperlink ref="C4" location="ResponseSurfaceVSRT!K34" display="Return to Response Surface"/>
    <hyperlink ref="C19" location="Instructions!A14" display="Return to Instructions"/>
  </hyperlinks>
  <printOptions horizontalCentered="1" gridLines="1"/>
  <pageMargins left="0.19685039370078741" right="0.19685039370078741" top="0.98425196850393704" bottom="0.98425196850393704" header="0.51181102362204722" footer="0.51181102362204722"/>
  <pageSetup paperSize="9" orientation="portrait" r:id="rId2"/>
  <headerFooter alignWithMargins="0">
    <oddFooter>&amp;L&amp;F &amp;A&amp;CPage &amp;P of &amp;N&amp;R&amp;D &amp;T</oddFooter>
  </headerFooter>
  <drawing r:id="rId3"/>
  <legacyDrawing r:id="rId4"/>
  <controls>
    <mc:AlternateContent xmlns:mc="http://schemas.openxmlformats.org/markup-compatibility/2006">
      <mc:Choice Requires="x14">
        <control shapeId="116741" r:id="rId5" name="ListBox1">
          <controlPr defaultSize="0" autoLine="0" linkedCell="C44" listFillRange="H45:H48" r:id="rId6">
            <anchor moveWithCells="1">
              <from>
                <xdr:col>2</xdr:col>
                <xdr:colOff>0</xdr:colOff>
                <xdr:row>43</xdr:row>
                <xdr:rowOff>0</xdr:rowOff>
              </from>
              <to>
                <xdr:col>3</xdr:col>
                <xdr:colOff>0</xdr:colOff>
                <xdr:row>44</xdr:row>
                <xdr:rowOff>19050</xdr:rowOff>
              </to>
            </anchor>
          </controlPr>
        </control>
      </mc:Choice>
      <mc:Fallback>
        <control shapeId="116741" r:id="rId5" name="ListBox1"/>
      </mc:Fallback>
    </mc:AlternateContent>
    <mc:AlternateContent xmlns:mc="http://schemas.openxmlformats.org/markup-compatibility/2006">
      <mc:Choice Requires="x14">
        <control shapeId="116737" r:id="rId7" name="Drop Down 1">
          <controlPr locked="0" defaultSize="0" autoFill="0" autoLine="0" autoPict="0">
            <anchor moveWithCells="1">
              <from>
                <xdr:col>1</xdr:col>
                <xdr:colOff>0</xdr:colOff>
                <xdr:row>2</xdr:row>
                <xdr:rowOff>133350</xdr:rowOff>
              </from>
              <to>
                <xdr:col>1</xdr:col>
                <xdr:colOff>1038225</xdr:colOff>
                <xdr:row>3</xdr:row>
                <xdr:rowOff>152400</xdr:rowOff>
              </to>
            </anchor>
          </controlPr>
        </control>
      </mc:Choice>
    </mc:AlternateContent>
    <mc:AlternateContent xmlns:mc="http://schemas.openxmlformats.org/markup-compatibility/2006">
      <mc:Choice Requires="x14">
        <control shapeId="116739" r:id="rId8" name="Drop Down 3">
          <controlPr defaultSize="0" autoFill="0" autoLine="0" autoPict="0">
            <anchor moveWithCells="1">
              <from>
                <xdr:col>1</xdr:col>
                <xdr:colOff>390525</xdr:colOff>
                <xdr:row>45</xdr:row>
                <xdr:rowOff>171450</xdr:rowOff>
              </from>
              <to>
                <xdr:col>1</xdr:col>
                <xdr:colOff>923925</xdr:colOff>
                <xdr:row>47</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65"/>
  <sheetViews>
    <sheetView zoomScale="75" workbookViewId="0">
      <selection activeCell="J24" sqref="J24"/>
    </sheetView>
  </sheetViews>
  <sheetFormatPr defaultRowHeight="12.75" x14ac:dyDescent="0.2"/>
  <cols>
    <col min="1" max="1" width="32.5703125" customWidth="1"/>
    <col min="2" max="2" width="17.85546875" customWidth="1"/>
    <col min="3" max="3" width="11.140625" customWidth="1"/>
    <col min="4" max="4" width="15.5703125" customWidth="1"/>
    <col min="5" max="5" width="10.85546875" customWidth="1"/>
    <col min="7" max="7" width="32.42578125" customWidth="1"/>
    <col min="8" max="8" width="15.42578125" customWidth="1"/>
    <col min="9" max="9" width="17.85546875" customWidth="1"/>
    <col min="10" max="10" width="17.7109375" customWidth="1"/>
    <col min="15" max="15" width="25.7109375" customWidth="1"/>
    <col min="16" max="16" width="16.7109375" customWidth="1"/>
    <col min="18" max="18" width="12.140625" customWidth="1"/>
  </cols>
  <sheetData>
    <row r="1" spans="1:10" ht="18" x14ac:dyDescent="0.25">
      <c r="A1" s="15" t="s">
        <v>213</v>
      </c>
      <c r="B1" s="50"/>
      <c r="D1" s="83" t="s">
        <v>202</v>
      </c>
    </row>
    <row r="2" spans="1:10" x14ac:dyDescent="0.2">
      <c r="A2" s="211" t="s">
        <v>270</v>
      </c>
    </row>
    <row r="3" spans="1:10" s="32" customFormat="1" ht="15" x14ac:dyDescent="0.25">
      <c r="A3" s="31" t="s">
        <v>13</v>
      </c>
      <c r="B3" s="95" t="s">
        <v>211</v>
      </c>
      <c r="D3" s="37" t="s">
        <v>212</v>
      </c>
    </row>
    <row r="4" spans="1:10" s="32" customFormat="1" ht="16.5" x14ac:dyDescent="0.2">
      <c r="A4" s="32" t="s">
        <v>34</v>
      </c>
      <c r="B4" s="53"/>
      <c r="C4" s="37" t="s">
        <v>35</v>
      </c>
      <c r="D4" s="38">
        <f>D5/B32/1.1</f>
        <v>1182.0442857142857</v>
      </c>
      <c r="E4" s="32" t="str">
        <f>IF(AND(B4&lt;&gt;"",B7&lt;&gt;"",B8&lt;&gt;""),"NOT required if H and D specifieded!","")</f>
        <v/>
      </c>
    </row>
    <row r="5" spans="1:10" s="32" customFormat="1" ht="16.5" x14ac:dyDescent="0.2">
      <c r="A5" s="32" t="s">
        <v>36</v>
      </c>
      <c r="B5" s="102">
        <f>Calculator!B46*1.1</f>
        <v>15472.959700000003</v>
      </c>
      <c r="C5" s="37" t="s">
        <v>35</v>
      </c>
      <c r="D5" s="38">
        <f>IF(B4="",IF(B5="",PI()*D8*D8*D7/4,B5),B4*B32)</f>
        <v>15472.959700000003</v>
      </c>
      <c r="E5" s="83" t="s">
        <v>208</v>
      </c>
    </row>
    <row r="6" spans="1:10" s="32" customFormat="1" ht="14.25" x14ac:dyDescent="0.2">
      <c r="A6" s="32" t="s">
        <v>113</v>
      </c>
      <c r="B6" s="33"/>
      <c r="C6" s="37" t="s">
        <v>112</v>
      </c>
      <c r="D6" s="71">
        <f>D4*B30</f>
        <v>61466.302857142859</v>
      </c>
    </row>
    <row r="7" spans="1:10" s="32" customFormat="1" ht="14.25" x14ac:dyDescent="0.2">
      <c r="A7" s="32" t="s">
        <v>37</v>
      </c>
      <c r="B7" s="89"/>
      <c r="C7" s="37" t="s">
        <v>38</v>
      </c>
      <c r="D7" s="38">
        <f>IF(B7="",IF(B8="",(4*B9^2*D5/PI())^(1/3),4*D5/B8/B8/PI()),B7)</f>
        <v>42.872732885413448</v>
      </c>
    </row>
    <row r="8" spans="1:10" s="32" customFormat="1" ht="14.25" x14ac:dyDescent="0.2">
      <c r="A8" s="32" t="s">
        <v>39</v>
      </c>
      <c r="B8" s="89"/>
      <c r="C8" s="37" t="s">
        <v>38</v>
      </c>
      <c r="D8" s="38">
        <f>IF(B8="",IF(B7="",(4*D5/PI()/B9)^(1/3),SQRT(4*D5/PI()/B7)),B8)</f>
        <v>21.436366442706721</v>
      </c>
    </row>
    <row r="9" spans="1:10" s="32" customFormat="1" ht="14.25" x14ac:dyDescent="0.2">
      <c r="A9" s="87" t="s">
        <v>207</v>
      </c>
      <c r="B9" s="53">
        <v>2</v>
      </c>
      <c r="C9" s="37"/>
      <c r="D9" s="38">
        <f>D7/D8</f>
        <v>2.0000000000000004</v>
      </c>
    </row>
    <row r="10" spans="1:10" s="32" customFormat="1" ht="14.25" x14ac:dyDescent="0.2">
      <c r="A10" s="88" t="str">
        <f>IF(OR(AND(B7="",B8="",B9=""),AND(B9&lt;&gt;"",B7&lt;&gt;"",B8&lt;&gt;"")),"Any TWO of H/D, H and D required!",IF(AND(B4&lt;&gt;"",B5&lt;&gt;""),"Volume per day OVERIDES Digester Volume!",""))</f>
        <v/>
      </c>
      <c r="B10" s="53"/>
    </row>
    <row r="11" spans="1:10" s="32" customFormat="1" ht="16.5" x14ac:dyDescent="0.2">
      <c r="A11" s="32" t="s">
        <v>40</v>
      </c>
      <c r="B11" s="53">
        <v>30</v>
      </c>
      <c r="C11" s="32" t="s">
        <v>41</v>
      </c>
    </row>
    <row r="12" spans="1:10" s="32" customFormat="1" ht="16.5" x14ac:dyDescent="0.2">
      <c r="A12" s="32" t="s">
        <v>42</v>
      </c>
      <c r="B12" s="53">
        <v>30</v>
      </c>
      <c r="C12" s="32" t="s">
        <v>41</v>
      </c>
    </row>
    <row r="13" spans="1:10" s="32" customFormat="1" ht="14.25" x14ac:dyDescent="0.2">
      <c r="A13" s="32" t="s">
        <v>43</v>
      </c>
      <c r="B13" s="53">
        <v>3</v>
      </c>
      <c r="C13" s="32" t="s">
        <v>44</v>
      </c>
    </row>
    <row r="14" spans="1:10" s="32" customFormat="1" ht="14.25" x14ac:dyDescent="0.2">
      <c r="A14" s="32" t="s">
        <v>45</v>
      </c>
      <c r="B14" s="53">
        <v>70</v>
      </c>
      <c r="C14" s="32" t="s">
        <v>46</v>
      </c>
    </row>
    <row r="15" spans="1:10" s="32" customFormat="1" ht="16.5" x14ac:dyDescent="0.2">
      <c r="A15" s="32" t="s">
        <v>47</v>
      </c>
      <c r="B15" s="53">
        <v>0.04</v>
      </c>
      <c r="C15" s="32" t="s">
        <v>48</v>
      </c>
      <c r="D15" s="32" t="s">
        <v>290</v>
      </c>
    </row>
    <row r="16" spans="1:10" s="32" customFormat="1" ht="16.5" x14ac:dyDescent="0.2">
      <c r="A16" s="32" t="s">
        <v>49</v>
      </c>
      <c r="B16" s="53">
        <v>39</v>
      </c>
      <c r="C16" s="32" t="s">
        <v>50</v>
      </c>
      <c r="G16" s="32" t="s">
        <v>338</v>
      </c>
      <c r="H16" s="32">
        <f>B20/Calculator!B22</f>
        <v>0.2609589996051383</v>
      </c>
      <c r="I16" s="32" t="s">
        <v>353</v>
      </c>
      <c r="J16" s="8">
        <f>('Temp&amp;RT'!G43*B5/1.1)/Calculator!B22</f>
        <v>0.2609589996051383</v>
      </c>
    </row>
    <row r="17" spans="1:9" s="32" customFormat="1" ht="16.5" x14ac:dyDescent="0.2">
      <c r="A17" s="32" t="s">
        <v>51</v>
      </c>
      <c r="B17" s="53">
        <v>4.16</v>
      </c>
      <c r="C17" s="32" t="s">
        <v>52</v>
      </c>
    </row>
    <row r="18" spans="1:9" s="32" customFormat="1" ht="14.25" x14ac:dyDescent="0.2"/>
    <row r="19" spans="1:9" s="32" customFormat="1" ht="15" x14ac:dyDescent="0.25">
      <c r="A19" s="103" t="s">
        <v>53</v>
      </c>
      <c r="B19" s="104"/>
      <c r="C19" s="104"/>
    </row>
    <row r="20" spans="1:9" s="32" customFormat="1" ht="16.5" x14ac:dyDescent="0.2">
      <c r="A20" s="104" t="s">
        <v>197</v>
      </c>
      <c r="B20" s="105">
        <f>'Temp&amp;RT'!$G$43*D5/1.1</f>
        <v>16028.653497632475</v>
      </c>
      <c r="C20" s="104" t="s">
        <v>54</v>
      </c>
      <c r="D20" s="187" t="s">
        <v>108</v>
      </c>
      <c r="E20" s="188">
        <f>B20*100/Calculator!B31</f>
        <v>29143.006359331772</v>
      </c>
      <c r="F20" s="104" t="s">
        <v>54</v>
      </c>
    </row>
    <row r="21" spans="1:9" s="32" customFormat="1" ht="14.25" x14ac:dyDescent="0.2">
      <c r="A21" s="104" t="s">
        <v>55</v>
      </c>
      <c r="B21" s="105">
        <f>D4*B17*('VS&amp;RT'!C30-'CFST Modified'!B12)*1000/24/60/60</f>
        <v>284.56621693121696</v>
      </c>
      <c r="C21" s="104" t="s">
        <v>56</v>
      </c>
      <c r="D21" s="95" t="s">
        <v>251</v>
      </c>
      <c r="E21" s="189">
        <v>55</v>
      </c>
      <c r="F21" s="32" t="s">
        <v>252</v>
      </c>
    </row>
    <row r="22" spans="1:9" s="32" customFormat="1" ht="14.25" x14ac:dyDescent="0.2">
      <c r="A22" s="104" t="s">
        <v>57</v>
      </c>
      <c r="B22" s="105">
        <f>('VS&amp;RT'!C30-B11)/(B13/B15/1000+1/6)*PI()*(D8*D8/4+D8*D7)/1000</f>
        <v>67.202895927055607</v>
      </c>
      <c r="C22" s="104" t="s">
        <v>56</v>
      </c>
    </row>
    <row r="23" spans="1:9" s="32" customFormat="1" ht="16.5" x14ac:dyDescent="0.2">
      <c r="A23" s="104" t="s">
        <v>198</v>
      </c>
      <c r="B23" s="105">
        <f>B20-(B21+B22)/B16*60*60*24/10/B14</f>
        <v>14915.362239355743</v>
      </c>
      <c r="C23" s="104" t="s">
        <v>54</v>
      </c>
      <c r="D23" s="187" t="s">
        <v>108</v>
      </c>
      <c r="E23" s="188">
        <f>B23*(1+(100-$E$21)/100)</f>
        <v>21627.275247065827</v>
      </c>
      <c r="F23" s="104" t="s">
        <v>54</v>
      </c>
      <c r="H23" s="32" t="s">
        <v>337</v>
      </c>
      <c r="I23" s="32">
        <f>B23+(30*B23/E21)</f>
        <v>23051.014369913421</v>
      </c>
    </row>
    <row r="24" spans="1:9" s="32" customFormat="1" ht="14.25" x14ac:dyDescent="0.2">
      <c r="A24" s="104" t="s">
        <v>58</v>
      </c>
      <c r="B24" s="105">
        <f>B23*B16*1000/24/60/60</f>
        <v>6732.6287885980801</v>
      </c>
      <c r="C24" s="104" t="s">
        <v>56</v>
      </c>
      <c r="H24" s="32" t="s">
        <v>354</v>
      </c>
      <c r="I24" s="32">
        <f>B25*24*3600/Calculator!B20</f>
        <v>695.81235327138052</v>
      </c>
    </row>
    <row r="25" spans="1:9" s="32" customFormat="1" ht="14.25" x14ac:dyDescent="0.2">
      <c r="A25" s="104" t="s">
        <v>98</v>
      </c>
      <c r="B25" s="105">
        <f>B24*E25</f>
        <v>1683.15719714952</v>
      </c>
      <c r="C25" s="104" t="s">
        <v>56</v>
      </c>
      <c r="D25" s="32" t="s">
        <v>291</v>
      </c>
      <c r="E25" s="261">
        <v>0.25</v>
      </c>
    </row>
    <row r="26" spans="1:9" s="32" customFormat="1" ht="14.25" x14ac:dyDescent="0.2">
      <c r="A26" s="104" t="s">
        <v>149</v>
      </c>
      <c r="B26" s="105">
        <f>Calculator!B38</f>
        <v>18</v>
      </c>
      <c r="C26" s="104" t="s">
        <v>292</v>
      </c>
    </row>
    <row r="27" spans="1:9" s="32" customFormat="1" ht="14.25" x14ac:dyDescent="0.2">
      <c r="A27" s="104" t="s">
        <v>293</v>
      </c>
      <c r="B27" s="105">
        <f>B25*B26*24*365/100</f>
        <v>2654002.268465363</v>
      </c>
      <c r="C27" s="104" t="s">
        <v>294</v>
      </c>
    </row>
    <row r="28" spans="1:9" s="32" customFormat="1" ht="14.25" x14ac:dyDescent="0.2"/>
    <row r="29" spans="1:9" s="32" customFormat="1" ht="15" x14ac:dyDescent="0.25">
      <c r="A29" s="31" t="s">
        <v>59</v>
      </c>
    </row>
    <row r="30" spans="1:9" s="32" customFormat="1" ht="16.5" x14ac:dyDescent="0.2">
      <c r="A30" s="32" t="s">
        <v>204</v>
      </c>
      <c r="B30" s="32">
        <f>'Temp&amp;RT'!B30</f>
        <v>52</v>
      </c>
      <c r="C30" s="32" t="s">
        <v>109</v>
      </c>
    </row>
    <row r="31" spans="1:9" s="32" customFormat="1" ht="16.5" x14ac:dyDescent="0.2">
      <c r="A31" s="32" t="s">
        <v>60</v>
      </c>
      <c r="B31" s="32">
        <f>'VS&amp;RT'!C30</f>
        <v>35</v>
      </c>
      <c r="C31" s="32" t="s">
        <v>41</v>
      </c>
    </row>
    <row r="32" spans="1:9" s="32" customFormat="1" ht="14.25" x14ac:dyDescent="0.2">
      <c r="A32" s="32" t="s">
        <v>61</v>
      </c>
      <c r="B32" s="32">
        <f>'Temp&amp;VS'!D30</f>
        <v>11.9</v>
      </c>
      <c r="C32" s="32" t="s">
        <v>19</v>
      </c>
    </row>
    <row r="33" spans="1:19" s="32" customFormat="1" ht="16.5" x14ac:dyDescent="0.2">
      <c r="A33" s="32" t="s">
        <v>205</v>
      </c>
      <c r="B33" s="86">
        <f>'Temp&amp;RT'!I43</f>
        <v>24.879774994307123</v>
      </c>
      <c r="C33" s="32" t="s">
        <v>109</v>
      </c>
    </row>
    <row r="34" spans="1:19" s="32" customFormat="1" ht="14.25" x14ac:dyDescent="0.2">
      <c r="A34" s="32" t="s">
        <v>206</v>
      </c>
      <c r="B34" s="86">
        <f>'Temp&amp;RT'!J43*100</f>
        <v>52.154278857101687</v>
      </c>
      <c r="C34" s="32" t="s">
        <v>46</v>
      </c>
    </row>
    <row r="35" spans="1:19" s="32" customFormat="1" ht="15" x14ac:dyDescent="0.25">
      <c r="B35" s="33"/>
      <c r="G35" s="262" t="s">
        <v>295</v>
      </c>
      <c r="H35" s="263"/>
      <c r="I35" s="263"/>
      <c r="J35" s="263"/>
      <c r="O35" s="262" t="s">
        <v>296</v>
      </c>
      <c r="P35" s="263"/>
      <c r="Q35" s="263"/>
      <c r="R35" s="263"/>
      <c r="S35" s="263"/>
    </row>
    <row r="36" spans="1:19" s="32" customFormat="1" ht="15" x14ac:dyDescent="0.25">
      <c r="A36" s="31" t="s">
        <v>62</v>
      </c>
      <c r="G36" s="263"/>
      <c r="H36" s="263" t="s">
        <v>63</v>
      </c>
      <c r="I36" s="263"/>
      <c r="J36" s="263" t="s">
        <v>64</v>
      </c>
      <c r="O36" s="263"/>
      <c r="P36" s="263"/>
      <c r="Q36" s="263"/>
      <c r="R36" s="263"/>
      <c r="S36" s="263"/>
    </row>
    <row r="37" spans="1:19" s="32" customFormat="1" ht="16.5" x14ac:dyDescent="0.2">
      <c r="B37" s="32" t="s">
        <v>63</v>
      </c>
      <c r="D37" s="32" t="s">
        <v>64</v>
      </c>
      <c r="G37" s="263" t="s">
        <v>65</v>
      </c>
      <c r="H37" s="264">
        <v>100</v>
      </c>
      <c r="I37" s="263" t="s">
        <v>66</v>
      </c>
      <c r="J37" s="265">
        <f>H37*D5</f>
        <v>1547295.9700000002</v>
      </c>
      <c r="O37" s="263" t="s">
        <v>297</v>
      </c>
      <c r="P37" s="263">
        <f>Calculator!B9*365*R37/145</f>
        <v>1315258.6206896552</v>
      </c>
      <c r="Q37" s="263" t="s">
        <v>298</v>
      </c>
      <c r="R37" s="263">
        <v>2.5</v>
      </c>
      <c r="S37" s="263" t="s">
        <v>299</v>
      </c>
    </row>
    <row r="38" spans="1:19" s="32" customFormat="1" ht="16.5" x14ac:dyDescent="0.2">
      <c r="A38" s="32" t="s">
        <v>65</v>
      </c>
      <c r="B38" s="57">
        <v>100</v>
      </c>
      <c r="C38" s="32" t="s">
        <v>66</v>
      </c>
      <c r="D38" s="34">
        <f>B38*D5</f>
        <v>1547295.9700000002</v>
      </c>
      <c r="G38" s="263" t="s">
        <v>67</v>
      </c>
      <c r="H38" s="264">
        <v>50</v>
      </c>
      <c r="I38" s="263" t="s">
        <v>68</v>
      </c>
      <c r="J38" s="265">
        <f>H38*(B21+B22)</f>
        <v>17588.455642913628</v>
      </c>
      <c r="O38" s="263" t="s">
        <v>300</v>
      </c>
      <c r="P38" s="263">
        <v>50</v>
      </c>
      <c r="Q38" s="263"/>
      <c r="R38" s="263"/>
      <c r="S38" s="263"/>
    </row>
    <row r="39" spans="1:19" s="32" customFormat="1" ht="16.5" x14ac:dyDescent="0.2">
      <c r="A39" s="32" t="s">
        <v>67</v>
      </c>
      <c r="B39" s="57">
        <v>50</v>
      </c>
      <c r="C39" s="32" t="s">
        <v>68</v>
      </c>
      <c r="D39" s="34">
        <f>B39*(B21+B22)</f>
        <v>17588.455642913628</v>
      </c>
      <c r="G39" s="263" t="s">
        <v>69</v>
      </c>
      <c r="H39" s="264">
        <v>20</v>
      </c>
      <c r="I39" s="263" t="s">
        <v>70</v>
      </c>
      <c r="J39" s="265">
        <f>IF(B13&gt;0,H39*PI()*(D8*D7+D8*D8/4),0)</f>
        <v>64962.799396153758</v>
      </c>
      <c r="O39" s="263" t="s">
        <v>301</v>
      </c>
      <c r="P39" s="263">
        <f>P38*R39*12/145</f>
        <v>82758.620689655174</v>
      </c>
      <c r="Q39" s="263" t="s">
        <v>298</v>
      </c>
      <c r="R39" s="263">
        <v>20000</v>
      </c>
      <c r="S39" s="263" t="s">
        <v>302</v>
      </c>
    </row>
    <row r="40" spans="1:19" s="32" customFormat="1" ht="16.5" x14ac:dyDescent="0.2">
      <c r="A40" s="32" t="s">
        <v>69</v>
      </c>
      <c r="B40" s="57">
        <v>20</v>
      </c>
      <c r="C40" s="32" t="s">
        <v>70</v>
      </c>
      <c r="D40" s="34">
        <f>IF(B13&gt;0,B40*PI()*(D8*D7+D8*D8/4),0)</f>
        <v>64962.799396153758</v>
      </c>
      <c r="G40" s="263" t="s">
        <v>303</v>
      </c>
      <c r="H40" s="264">
        <f>2*150000+100000</f>
        <v>400000</v>
      </c>
      <c r="I40" s="263"/>
      <c r="J40" s="266">
        <f>H40</f>
        <v>400000</v>
      </c>
      <c r="O40" s="263" t="s">
        <v>304</v>
      </c>
      <c r="P40" s="263">
        <v>30</v>
      </c>
      <c r="Q40" s="263"/>
      <c r="R40" s="263"/>
      <c r="S40" s="263"/>
    </row>
    <row r="41" spans="1:19" s="32" customFormat="1" ht="14.25" x14ac:dyDescent="0.2">
      <c r="A41" s="32" t="s">
        <v>71</v>
      </c>
      <c r="B41" s="57">
        <f>D38</f>
        <v>1547295.9700000002</v>
      </c>
      <c r="D41" s="35">
        <f>B41</f>
        <v>1547295.9700000002</v>
      </c>
      <c r="G41" s="263"/>
      <c r="H41" s="263"/>
      <c r="I41" s="263" t="s">
        <v>72</v>
      </c>
      <c r="J41" s="266">
        <f>SUM(J37:J40)</f>
        <v>2029847.2250390677</v>
      </c>
      <c r="N41" s="267"/>
      <c r="O41" s="263" t="s">
        <v>305</v>
      </c>
      <c r="P41" s="263">
        <f>R41*P40*12/145</f>
        <v>148965.5172413793</v>
      </c>
      <c r="Q41" s="263" t="s">
        <v>298</v>
      </c>
      <c r="R41" s="263">
        <v>60000</v>
      </c>
      <c r="S41" s="263" t="s">
        <v>306</v>
      </c>
    </row>
    <row r="42" spans="1:19" s="32" customFormat="1" ht="14.25" x14ac:dyDescent="0.2">
      <c r="C42" s="32" t="s">
        <v>72</v>
      </c>
      <c r="D42" s="35">
        <f>SUM(D38:D41)</f>
        <v>3177143.1950390679</v>
      </c>
      <c r="G42" s="263"/>
      <c r="H42" s="268"/>
      <c r="I42" s="263"/>
      <c r="J42" s="263"/>
      <c r="O42" s="263" t="s">
        <v>307</v>
      </c>
      <c r="P42" s="263">
        <f>Calculator!F17*365*R42/(145)</f>
        <v>83424.97536945813</v>
      </c>
      <c r="Q42" s="263" t="s">
        <v>298</v>
      </c>
      <c r="R42" s="263">
        <v>30</v>
      </c>
      <c r="S42" s="263" t="s">
        <v>308</v>
      </c>
    </row>
    <row r="43" spans="1:19" s="32" customFormat="1" ht="14.25" x14ac:dyDescent="0.2">
      <c r="A43" s="32" t="s">
        <v>73</v>
      </c>
      <c r="B43" s="53">
        <v>20</v>
      </c>
      <c r="C43" s="32" t="s">
        <v>74</v>
      </c>
      <c r="O43" s="263" t="s">
        <v>72</v>
      </c>
      <c r="P43" s="263">
        <f>SUM(P42+P41+P39+P37)</f>
        <v>1630407.7339901477</v>
      </c>
      <c r="Q43" s="263" t="s">
        <v>298</v>
      </c>
      <c r="R43" s="263"/>
      <c r="S43" s="263"/>
    </row>
    <row r="44" spans="1:19" s="32" customFormat="1" ht="15" x14ac:dyDescent="0.25">
      <c r="G44" s="262" t="s">
        <v>309</v>
      </c>
      <c r="H44" s="269"/>
      <c r="I44" s="262"/>
      <c r="J44" s="263"/>
    </row>
    <row r="45" spans="1:19" s="32" customFormat="1" ht="17.25" x14ac:dyDescent="0.25">
      <c r="A45" s="106" t="s">
        <v>75</v>
      </c>
      <c r="B45" s="107">
        <f>IF(B23&gt;0,D42/B43/365/B23,"No Excess Methane")</f>
        <v>2.9179653046738901E-2</v>
      </c>
      <c r="C45" s="103" t="s">
        <v>76</v>
      </c>
      <c r="G45" s="248"/>
      <c r="H45" s="248"/>
      <c r="I45" s="248"/>
      <c r="J45" s="248"/>
      <c r="K45"/>
      <c r="L45"/>
      <c r="M45"/>
      <c r="N45"/>
      <c r="O45" s="262" t="s">
        <v>310</v>
      </c>
      <c r="P45" s="248"/>
      <c r="Q45" s="248"/>
      <c r="R45"/>
      <c r="S45"/>
    </row>
    <row r="46" spans="1:19" x14ac:dyDescent="0.2">
      <c r="G46" s="246" t="s">
        <v>335</v>
      </c>
      <c r="H46" s="248"/>
      <c r="I46" s="248"/>
      <c r="J46" s="270">
        <f>50000*B25/1000</f>
        <v>84157.859857475996</v>
      </c>
      <c r="O46" s="248"/>
      <c r="P46" s="248"/>
      <c r="Q46" s="248"/>
    </row>
    <row r="47" spans="1:19" x14ac:dyDescent="0.2">
      <c r="O47" s="246" t="s">
        <v>311</v>
      </c>
      <c r="P47" s="248">
        <v>50000</v>
      </c>
      <c r="Q47" s="246" t="s">
        <v>298</v>
      </c>
    </row>
    <row r="48" spans="1:19" ht="15" x14ac:dyDescent="0.25">
      <c r="G48" s="262" t="s">
        <v>312</v>
      </c>
      <c r="H48" s="248"/>
      <c r="I48" s="248"/>
      <c r="J48" s="248"/>
      <c r="O48" s="246" t="s">
        <v>313</v>
      </c>
      <c r="P48" s="248">
        <v>50000</v>
      </c>
      <c r="Q48" s="246" t="s">
        <v>298</v>
      </c>
    </row>
    <row r="49" spans="7:17" x14ac:dyDescent="0.2">
      <c r="G49" s="248"/>
      <c r="H49" s="248"/>
      <c r="I49" s="248"/>
      <c r="J49" s="248"/>
      <c r="O49" s="246" t="s">
        <v>314</v>
      </c>
      <c r="P49" s="248">
        <v>50000</v>
      </c>
      <c r="Q49" s="246" t="s">
        <v>298</v>
      </c>
    </row>
    <row r="50" spans="7:17" ht="16.5" x14ac:dyDescent="0.2">
      <c r="G50" s="246" t="s">
        <v>315</v>
      </c>
      <c r="H50" s="264">
        <v>30</v>
      </c>
      <c r="I50" s="263" t="s">
        <v>66</v>
      </c>
      <c r="J50" s="271">
        <f>5*H50*Calculator!B9/1000</f>
        <v>31350</v>
      </c>
      <c r="K50" s="260" t="s">
        <v>333</v>
      </c>
      <c r="O50" s="246" t="s">
        <v>72</v>
      </c>
      <c r="P50" s="248">
        <f>SUM(P47:P49)</f>
        <v>150000</v>
      </c>
      <c r="Q50" s="246" t="s">
        <v>298</v>
      </c>
    </row>
    <row r="51" spans="7:17" x14ac:dyDescent="0.2">
      <c r="G51" s="246" t="s">
        <v>316</v>
      </c>
      <c r="H51" s="248"/>
      <c r="I51" s="248"/>
      <c r="J51" s="272">
        <f>500000*E20/15000</f>
        <v>971433.5453110591</v>
      </c>
      <c r="K51" s="260" t="s">
        <v>334</v>
      </c>
    </row>
    <row r="52" spans="7:17" ht="14.25" x14ac:dyDescent="0.2">
      <c r="G52" s="248"/>
      <c r="H52" s="248"/>
      <c r="I52" s="246" t="s">
        <v>72</v>
      </c>
      <c r="J52" s="271">
        <f>SUM(J50:J51)</f>
        <v>1002783.5453110591</v>
      </c>
      <c r="O52" s="263" t="s">
        <v>317</v>
      </c>
      <c r="P52" s="263"/>
    </row>
    <row r="53" spans="7:17" x14ac:dyDescent="0.2">
      <c r="O53" s="248"/>
      <c r="P53" s="248"/>
    </row>
    <row r="54" spans="7:17" x14ac:dyDescent="0.2">
      <c r="G54" s="248" t="s">
        <v>318</v>
      </c>
      <c r="H54" s="248"/>
      <c r="I54" s="248"/>
      <c r="J54" s="248"/>
      <c r="O54" s="246" t="s">
        <v>153</v>
      </c>
      <c r="P54" s="270">
        <f>J41</f>
        <v>2029847.2250390677</v>
      </c>
    </row>
    <row r="55" spans="7:17" x14ac:dyDescent="0.2">
      <c r="G55" s="248"/>
      <c r="H55" s="248"/>
      <c r="I55" s="248"/>
      <c r="J55" s="248"/>
      <c r="O55" s="246" t="s">
        <v>319</v>
      </c>
      <c r="P55" s="273">
        <f>J46</f>
        <v>84157.859857475996</v>
      </c>
    </row>
    <row r="56" spans="7:17" x14ac:dyDescent="0.2">
      <c r="G56" s="248" t="s">
        <v>320</v>
      </c>
      <c r="H56" s="248">
        <f>22*Calculator!B20/(5000*24)</f>
        <v>38.31666666666667</v>
      </c>
      <c r="I56" s="248" t="s">
        <v>147</v>
      </c>
      <c r="J56" s="248">
        <f>H56*3600*B26/100</f>
        <v>24829.200000000001</v>
      </c>
      <c r="O56" s="246" t="s">
        <v>312</v>
      </c>
      <c r="P56" s="270">
        <f>J52</f>
        <v>1002783.5453110591</v>
      </c>
    </row>
    <row r="57" spans="7:17" x14ac:dyDescent="0.2">
      <c r="G57" s="248" t="s">
        <v>321</v>
      </c>
      <c r="H57" s="248">
        <f>5.5*Calculator!F17/(24*100)</f>
        <v>2.5316369047619047</v>
      </c>
      <c r="I57" s="248" t="s">
        <v>147</v>
      </c>
      <c r="J57" s="248">
        <f>H57*3600*B26/100</f>
        <v>1640.5007142857141</v>
      </c>
      <c r="O57" s="246" t="s">
        <v>72</v>
      </c>
      <c r="P57" s="273">
        <f>SUM(P54:P56)</f>
        <v>3116788.6302076029</v>
      </c>
    </row>
    <row r="58" spans="7:17" x14ac:dyDescent="0.2">
      <c r="G58" s="248" t="s">
        <v>322</v>
      </c>
      <c r="H58" s="248">
        <v>20</v>
      </c>
      <c r="I58" s="248" t="s">
        <v>147</v>
      </c>
      <c r="J58" s="248">
        <f>H58*3600*B26/100</f>
        <v>12960</v>
      </c>
    </row>
    <row r="59" spans="7:17" x14ac:dyDescent="0.2">
      <c r="G59" s="248"/>
      <c r="H59" s="248"/>
      <c r="I59" s="248" t="s">
        <v>72</v>
      </c>
      <c r="J59" s="248">
        <f>SUM(J56:J58)</f>
        <v>39429.700714285718</v>
      </c>
      <c r="O59" s="246" t="s">
        <v>323</v>
      </c>
      <c r="P59" s="270">
        <f>B27</f>
        <v>2654002.268465363</v>
      </c>
      <c r="Q59" s="246" t="s">
        <v>298</v>
      </c>
    </row>
    <row r="60" spans="7:17" x14ac:dyDescent="0.2">
      <c r="O60" s="246" t="s">
        <v>324</v>
      </c>
      <c r="P60" s="270">
        <f>P43</f>
        <v>1630407.7339901477</v>
      </c>
      <c r="Q60" s="246" t="s">
        <v>298</v>
      </c>
    </row>
    <row r="61" spans="7:17" x14ac:dyDescent="0.2">
      <c r="O61" s="246" t="s">
        <v>325</v>
      </c>
      <c r="P61" s="270">
        <f>P50</f>
        <v>150000</v>
      </c>
      <c r="Q61" s="246" t="s">
        <v>298</v>
      </c>
    </row>
    <row r="62" spans="7:17" x14ac:dyDescent="0.2">
      <c r="O62" s="246" t="s">
        <v>326</v>
      </c>
      <c r="P62" s="270">
        <f>J59</f>
        <v>39429.700714285718</v>
      </c>
      <c r="Q62" s="246" t="s">
        <v>298</v>
      </c>
    </row>
    <row r="63" spans="7:17" x14ac:dyDescent="0.2">
      <c r="G63" s="83" t="s">
        <v>327</v>
      </c>
      <c r="O63" s="246" t="s">
        <v>328</v>
      </c>
      <c r="P63" s="271">
        <f>P59-P60-P61-P62</f>
        <v>834164.83376092953</v>
      </c>
      <c r="Q63" s="246" t="s">
        <v>298</v>
      </c>
    </row>
    <row r="64" spans="7:17" x14ac:dyDescent="0.2">
      <c r="G64" s="83" t="s">
        <v>329</v>
      </c>
    </row>
    <row r="65" spans="7:17" x14ac:dyDescent="0.2">
      <c r="G65" s="83" t="s">
        <v>330</v>
      </c>
      <c r="O65" s="246" t="s">
        <v>331</v>
      </c>
      <c r="P65" s="248">
        <f>P57/P63</f>
        <v>3.7364181562955578</v>
      </c>
      <c r="Q65" s="246" t="s">
        <v>332</v>
      </c>
    </row>
  </sheetData>
  <hyperlinks>
    <hyperlink ref="D1" location="Instructions!A16" display="Return to Instructions"/>
    <hyperlink ref="E5" location="PlugFlow!A1" display="Return to Plug Flow"/>
    <hyperlink ref="G64" r:id="rId1"/>
    <hyperlink ref="G63" r:id="rId2"/>
    <hyperlink ref="G65" r:id="rId3"/>
  </hyperlinks>
  <pageMargins left="0.75" right="0.75" top="1" bottom="1" header="0.5" footer="0.5"/>
  <pageSetup orientation="portrait" horizontalDpi="300" verticalDpi="144" r:id="rId4"/>
  <headerFooter alignWithMargins="0">
    <oddHeader>&amp;L&amp;F&amp;C&amp;A&amp;R&amp;D &amp;T</oddHeader>
    <oddFooter>&amp;CPage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1"/>
  <sheetViews>
    <sheetView topLeftCell="C15" zoomScaleNormal="100" workbookViewId="0">
      <selection activeCell="H39" sqref="H39"/>
    </sheetView>
  </sheetViews>
  <sheetFormatPr defaultRowHeight="15.75" x14ac:dyDescent="0.25"/>
  <cols>
    <col min="1" max="1" width="9.140625" style="280"/>
    <col min="2" max="2" width="22.42578125" style="280" customWidth="1"/>
    <col min="3" max="3" width="20.28515625" style="280" customWidth="1"/>
    <col min="4" max="4" width="18.5703125" style="280" customWidth="1"/>
    <col min="5" max="5" width="22.7109375" style="280" customWidth="1"/>
    <col min="6" max="6" width="15.140625" style="280" customWidth="1"/>
    <col min="7" max="8" width="9.140625" style="280"/>
    <col min="9" max="9" width="21" style="280" customWidth="1"/>
    <col min="10" max="10" width="14.85546875" style="280" customWidth="1"/>
    <col min="11" max="16384" width="9.140625" style="280"/>
  </cols>
  <sheetData>
    <row r="1" spans="1:11" ht="73.5" customHeight="1" x14ac:dyDescent="0.25">
      <c r="A1" s="293" t="s">
        <v>339</v>
      </c>
      <c r="B1" s="293"/>
      <c r="C1" s="275" t="s">
        <v>352</v>
      </c>
      <c r="D1" s="275" t="s">
        <v>340</v>
      </c>
      <c r="E1" s="275" t="s">
        <v>341</v>
      </c>
      <c r="F1" s="275" t="s">
        <v>342</v>
      </c>
    </row>
    <row r="2" spans="1:11" x14ac:dyDescent="0.25">
      <c r="A2" s="292" t="s">
        <v>343</v>
      </c>
      <c r="B2" s="292"/>
      <c r="C2" s="276">
        <v>1040933</v>
      </c>
      <c r="D2" s="277">
        <v>64.84</v>
      </c>
      <c r="E2" s="278">
        <v>1662700</v>
      </c>
      <c r="F2" s="278">
        <v>58.58</v>
      </c>
      <c r="I2" s="279"/>
    </row>
    <row r="3" spans="1:11" x14ac:dyDescent="0.25">
      <c r="A3" s="292" t="s">
        <v>344</v>
      </c>
      <c r="B3" s="292"/>
      <c r="C3" s="276">
        <v>105872</v>
      </c>
      <c r="D3" s="277">
        <v>6.59</v>
      </c>
      <c r="E3" s="278">
        <v>198460</v>
      </c>
      <c r="F3" s="278">
        <v>6.99</v>
      </c>
      <c r="I3" s="279"/>
    </row>
    <row r="4" spans="1:11" x14ac:dyDescent="0.25">
      <c r="A4" s="292" t="s">
        <v>345</v>
      </c>
      <c r="B4" s="292"/>
      <c r="C4" s="276">
        <v>139629</v>
      </c>
      <c r="D4" s="277">
        <v>8.6999999999999993</v>
      </c>
      <c r="E4" s="278">
        <v>229223</v>
      </c>
      <c r="F4" s="278">
        <v>8.08</v>
      </c>
      <c r="I4" s="279"/>
    </row>
    <row r="5" spans="1:11" ht="16.5" customHeight="1" x14ac:dyDescent="0.25">
      <c r="A5" s="292" t="s">
        <v>346</v>
      </c>
      <c r="B5" s="292"/>
      <c r="C5" s="276">
        <v>58049</v>
      </c>
      <c r="D5" s="277">
        <v>3.62</v>
      </c>
      <c r="E5" s="278">
        <v>170189</v>
      </c>
      <c r="F5" s="278">
        <v>6</v>
      </c>
      <c r="I5" s="279"/>
    </row>
    <row r="6" spans="1:11" ht="16.5" customHeight="1" x14ac:dyDescent="0.25">
      <c r="A6" s="292" t="s">
        <v>347</v>
      </c>
      <c r="B6" s="292"/>
      <c r="C6" s="276">
        <v>53115</v>
      </c>
      <c r="D6" s="277">
        <v>3.31</v>
      </c>
      <c r="E6" s="278">
        <v>91860</v>
      </c>
      <c r="F6" s="278">
        <v>3.24</v>
      </c>
      <c r="I6" s="279"/>
    </row>
    <row r="7" spans="1:11" x14ac:dyDescent="0.25">
      <c r="A7" s="292" t="s">
        <v>348</v>
      </c>
      <c r="B7" s="292"/>
      <c r="C7" s="276">
        <v>47864</v>
      </c>
      <c r="D7" s="277">
        <v>2.98</v>
      </c>
      <c r="E7" s="278">
        <v>85660</v>
      </c>
      <c r="F7" s="278">
        <v>3.02</v>
      </c>
      <c r="I7" s="279"/>
    </row>
    <row r="8" spans="1:11" ht="16.5" customHeight="1" x14ac:dyDescent="0.25">
      <c r="A8" s="292" t="s">
        <v>349</v>
      </c>
      <c r="B8" s="292"/>
      <c r="C8" s="276">
        <v>32837</v>
      </c>
      <c r="D8" s="277">
        <v>2.0499999999999998</v>
      </c>
      <c r="E8" s="278">
        <v>74132</v>
      </c>
      <c r="F8" s="278">
        <v>2.61</v>
      </c>
      <c r="I8" s="279"/>
    </row>
    <row r="9" spans="1:11" x14ac:dyDescent="0.25">
      <c r="A9" s="292" t="s">
        <v>350</v>
      </c>
      <c r="B9" s="292"/>
      <c r="C9" s="276">
        <v>78357</v>
      </c>
      <c r="D9" s="277">
        <v>4.88</v>
      </c>
      <c r="E9" s="278">
        <v>232803</v>
      </c>
      <c r="F9" s="278">
        <v>8.1999999999999993</v>
      </c>
      <c r="I9" s="279"/>
    </row>
    <row r="10" spans="1:11" x14ac:dyDescent="0.25">
      <c r="A10" s="292" t="s">
        <v>351</v>
      </c>
      <c r="B10" s="292"/>
      <c r="C10" s="276">
        <v>48695</v>
      </c>
      <c r="D10" s="277">
        <v>3.03</v>
      </c>
      <c r="E10" s="278">
        <v>93428</v>
      </c>
      <c r="F10" s="278">
        <v>3.29</v>
      </c>
      <c r="I10" s="279"/>
    </row>
    <row r="11" spans="1:11" x14ac:dyDescent="0.25">
      <c r="A11" s="292" t="s">
        <v>117</v>
      </c>
      <c r="B11" s="292"/>
      <c r="C11" s="276">
        <v>1605351</v>
      </c>
      <c r="D11" s="277">
        <v>100</v>
      </c>
      <c r="E11" s="278">
        <v>2838455</v>
      </c>
      <c r="F11" s="278">
        <v>100</v>
      </c>
      <c r="I11" s="279"/>
    </row>
    <row r="14" spans="1:11" x14ac:dyDescent="0.25">
      <c r="B14" s="280" t="s">
        <v>356</v>
      </c>
      <c r="E14" s="280" t="s">
        <v>372</v>
      </c>
      <c r="I14" s="280" t="s">
        <v>384</v>
      </c>
    </row>
    <row r="16" spans="1:11" x14ac:dyDescent="0.25">
      <c r="B16" s="280" t="s">
        <v>357</v>
      </c>
      <c r="C16" s="281">
        <v>79.259</v>
      </c>
      <c r="E16" s="280" t="s">
        <v>371</v>
      </c>
      <c r="F16" s="280">
        <v>38</v>
      </c>
      <c r="I16" s="280" t="s">
        <v>358</v>
      </c>
      <c r="J16" s="281">
        <v>1.7430000000000001</v>
      </c>
      <c r="K16" s="280">
        <v>1</v>
      </c>
    </row>
    <row r="17" spans="2:11" x14ac:dyDescent="0.25">
      <c r="B17" s="280" t="s">
        <v>358</v>
      </c>
      <c r="C17" s="281">
        <v>1.7430000000000001</v>
      </c>
      <c r="E17" s="280" t="s">
        <v>373</v>
      </c>
      <c r="F17" s="280">
        <v>8.3350000000000009</v>
      </c>
      <c r="I17" s="280" t="s">
        <v>359</v>
      </c>
      <c r="J17" s="281">
        <v>0.73</v>
      </c>
      <c r="K17" s="280">
        <v>2</v>
      </c>
    </row>
    <row r="18" spans="2:11" x14ac:dyDescent="0.25">
      <c r="B18" s="280" t="s">
        <v>359</v>
      </c>
      <c r="C18" s="281">
        <v>0.73</v>
      </c>
      <c r="E18" s="280" t="s">
        <v>374</v>
      </c>
      <c r="F18" s="280">
        <v>0.73299999999999998</v>
      </c>
      <c r="I18" s="280" t="s">
        <v>360</v>
      </c>
      <c r="J18" s="281">
        <v>1.5960000000000001</v>
      </c>
      <c r="K18" s="280">
        <v>3</v>
      </c>
    </row>
    <row r="19" spans="2:11" x14ac:dyDescent="0.25">
      <c r="B19" s="280" t="s">
        <v>360</v>
      </c>
      <c r="C19" s="281">
        <v>1.5960000000000001</v>
      </c>
      <c r="E19" s="280" t="s">
        <v>375</v>
      </c>
      <c r="F19" s="280">
        <v>5.7210000000000001</v>
      </c>
      <c r="I19" s="280" t="s">
        <v>361</v>
      </c>
      <c r="J19" s="281">
        <v>8.1530000000000005</v>
      </c>
      <c r="K19" s="280">
        <v>4</v>
      </c>
    </row>
    <row r="20" spans="2:11" x14ac:dyDescent="0.25">
      <c r="B20" s="280" t="s">
        <v>361</v>
      </c>
      <c r="C20" s="281">
        <v>8.1530000000000005</v>
      </c>
      <c r="E20" s="280" t="s">
        <v>376</v>
      </c>
      <c r="F20" s="280">
        <v>0.82199999999999995</v>
      </c>
      <c r="I20" s="280" t="s">
        <v>362</v>
      </c>
      <c r="J20" s="281">
        <v>0.13400000000000001</v>
      </c>
      <c r="K20" s="280">
        <v>5</v>
      </c>
    </row>
    <row r="21" spans="2:11" x14ac:dyDescent="0.25">
      <c r="B21" s="280" t="s">
        <v>362</v>
      </c>
      <c r="C21" s="281">
        <v>0.13400000000000001</v>
      </c>
      <c r="E21" s="280" t="s">
        <v>377</v>
      </c>
      <c r="F21" s="280">
        <v>3.0000000000000001E-3</v>
      </c>
      <c r="I21" s="280" t="s">
        <v>363</v>
      </c>
      <c r="J21" s="281">
        <v>0.13900000000000001</v>
      </c>
      <c r="K21" s="280">
        <v>6</v>
      </c>
    </row>
    <row r="22" spans="2:11" x14ac:dyDescent="0.25">
      <c r="B22" s="280" t="s">
        <v>363</v>
      </c>
      <c r="C22" s="281">
        <v>0.13900000000000001</v>
      </c>
      <c r="E22" s="280" t="s">
        <v>378</v>
      </c>
      <c r="F22" s="280">
        <v>16.602</v>
      </c>
      <c r="I22" s="280" t="s">
        <v>364</v>
      </c>
      <c r="J22" s="281">
        <v>4.8079999999999998</v>
      </c>
      <c r="K22" s="280">
        <v>7</v>
      </c>
    </row>
    <row r="23" spans="2:11" x14ac:dyDescent="0.25">
      <c r="B23" s="280" t="s">
        <v>364</v>
      </c>
      <c r="C23" s="281">
        <v>4.8079999999999998</v>
      </c>
      <c r="E23" s="280" t="s">
        <v>379</v>
      </c>
      <c r="F23" s="280">
        <v>2.0489999999999999</v>
      </c>
      <c r="I23" s="280" t="s">
        <v>365</v>
      </c>
      <c r="J23" s="281">
        <v>1.2789999999999999</v>
      </c>
      <c r="K23" s="280">
        <v>8</v>
      </c>
    </row>
    <row r="24" spans="2:11" x14ac:dyDescent="0.25">
      <c r="B24" s="280" t="s">
        <v>365</v>
      </c>
      <c r="C24" s="281">
        <v>1.2789999999999999</v>
      </c>
      <c r="E24" s="280" t="s">
        <v>380</v>
      </c>
      <c r="F24" s="280">
        <v>3.0459999999999998</v>
      </c>
      <c r="I24" s="280" t="s">
        <v>366</v>
      </c>
      <c r="J24" s="281">
        <v>1.0289999999999999</v>
      </c>
      <c r="K24" s="280">
        <v>9</v>
      </c>
    </row>
    <row r="25" spans="2:11" x14ac:dyDescent="0.25">
      <c r="B25" s="280" t="s">
        <v>366</v>
      </c>
      <c r="C25" s="281">
        <v>1.0289999999999999</v>
      </c>
      <c r="E25" s="280" t="s">
        <v>381</v>
      </c>
      <c r="F25" s="280">
        <v>2.1999999999999999E-2</v>
      </c>
      <c r="I25" s="280" t="s">
        <v>367</v>
      </c>
      <c r="J25" s="281">
        <v>0.94</v>
      </c>
      <c r="K25" s="280">
        <v>10</v>
      </c>
    </row>
    <row r="26" spans="2:11" x14ac:dyDescent="0.25">
      <c r="B26" s="280" t="s">
        <v>367</v>
      </c>
      <c r="C26" s="281">
        <v>0.94</v>
      </c>
      <c r="E26" s="280" t="s">
        <v>382</v>
      </c>
      <c r="F26" s="280">
        <v>3.7029999999999998</v>
      </c>
      <c r="I26" s="280" t="s">
        <v>368</v>
      </c>
      <c r="J26" s="281">
        <v>4.8000000000000001E-2</v>
      </c>
      <c r="K26" s="280">
        <v>11</v>
      </c>
    </row>
    <row r="27" spans="2:11" x14ac:dyDescent="0.25">
      <c r="B27" s="280" t="s">
        <v>368</v>
      </c>
      <c r="C27" s="281">
        <v>4.8000000000000001E-2</v>
      </c>
      <c r="E27" s="280" t="s">
        <v>383</v>
      </c>
      <c r="F27" s="280">
        <v>0.223</v>
      </c>
      <c r="I27" s="280" t="s">
        <v>369</v>
      </c>
      <c r="J27" s="281">
        <v>0.108</v>
      </c>
      <c r="K27" s="280">
        <v>12</v>
      </c>
    </row>
    <row r="28" spans="2:11" x14ac:dyDescent="0.25">
      <c r="B28" s="280" t="s">
        <v>369</v>
      </c>
      <c r="C28" s="281">
        <v>0.108</v>
      </c>
      <c r="E28" s="280" t="s">
        <v>117</v>
      </c>
      <c r="F28" s="281">
        <f>SUM(F16:F27)</f>
        <v>79.259000000000029</v>
      </c>
      <c r="I28" s="280" t="s">
        <v>370</v>
      </c>
      <c r="J28" s="281">
        <v>3.4000000000000002E-2</v>
      </c>
      <c r="K28" s="280">
        <v>13</v>
      </c>
    </row>
    <row r="29" spans="2:11" x14ac:dyDescent="0.25">
      <c r="B29" s="280" t="s">
        <v>370</v>
      </c>
      <c r="C29" s="281">
        <v>3.4000000000000002E-2</v>
      </c>
      <c r="I29" s="280" t="s">
        <v>357</v>
      </c>
      <c r="J29" s="281">
        <v>79.259</v>
      </c>
      <c r="K29" s="280">
        <v>14</v>
      </c>
    </row>
    <row r="30" spans="2:11" x14ac:dyDescent="0.25">
      <c r="B30" s="280" t="s">
        <v>117</v>
      </c>
      <c r="C30" s="281">
        <f>SUM(C16:C29)</f>
        <v>100.00000000000001</v>
      </c>
      <c r="I30" s="280" t="s">
        <v>371</v>
      </c>
      <c r="J30" s="280">
        <v>38</v>
      </c>
      <c r="K30" s="280">
        <v>1</v>
      </c>
    </row>
    <row r="31" spans="2:11" x14ac:dyDescent="0.25">
      <c r="I31" s="280" t="s">
        <v>373</v>
      </c>
      <c r="J31" s="280">
        <v>8.3350000000000009</v>
      </c>
      <c r="K31" s="280">
        <v>2</v>
      </c>
    </row>
    <row r="32" spans="2:11" x14ac:dyDescent="0.25">
      <c r="I32" s="280" t="s">
        <v>374</v>
      </c>
      <c r="J32" s="280">
        <v>0.73299999999999998</v>
      </c>
      <c r="K32" s="280">
        <v>3</v>
      </c>
    </row>
    <row r="33" spans="9:11" x14ac:dyDescent="0.25">
      <c r="I33" s="280" t="s">
        <v>375</v>
      </c>
      <c r="J33" s="280">
        <v>5.7210000000000001</v>
      </c>
      <c r="K33" s="280">
        <v>4</v>
      </c>
    </row>
    <row r="34" spans="9:11" x14ac:dyDescent="0.25">
      <c r="I34" s="280" t="s">
        <v>376</v>
      </c>
      <c r="J34" s="280">
        <v>0.82199999999999995</v>
      </c>
      <c r="K34" s="280">
        <v>5</v>
      </c>
    </row>
    <row r="35" spans="9:11" x14ac:dyDescent="0.25">
      <c r="I35" s="280" t="s">
        <v>377</v>
      </c>
      <c r="J35" s="280">
        <v>3.0000000000000001E-3</v>
      </c>
      <c r="K35" s="280">
        <v>6</v>
      </c>
    </row>
    <row r="36" spans="9:11" x14ac:dyDescent="0.25">
      <c r="I36" s="280" t="s">
        <v>378</v>
      </c>
      <c r="J36" s="280">
        <v>16.602</v>
      </c>
      <c r="K36" s="280">
        <v>7</v>
      </c>
    </row>
    <row r="37" spans="9:11" x14ac:dyDescent="0.25">
      <c r="I37" s="280" t="s">
        <v>379</v>
      </c>
      <c r="J37" s="280">
        <v>2.0489999999999999</v>
      </c>
      <c r="K37" s="280">
        <v>8</v>
      </c>
    </row>
    <row r="38" spans="9:11" x14ac:dyDescent="0.25">
      <c r="I38" s="280" t="s">
        <v>380</v>
      </c>
      <c r="J38" s="280">
        <v>3.0459999999999998</v>
      </c>
      <c r="K38" s="280">
        <v>9</v>
      </c>
    </row>
    <row r="39" spans="9:11" x14ac:dyDescent="0.25">
      <c r="I39" s="280" t="s">
        <v>381</v>
      </c>
      <c r="J39" s="280">
        <v>2.1999999999999999E-2</v>
      </c>
      <c r="K39" s="280">
        <v>10</v>
      </c>
    </row>
    <row r="40" spans="9:11" x14ac:dyDescent="0.25">
      <c r="I40" s="280" t="s">
        <v>382</v>
      </c>
      <c r="J40" s="280">
        <v>3.7029999999999998</v>
      </c>
      <c r="K40" s="280">
        <v>11</v>
      </c>
    </row>
    <row r="41" spans="9:11" x14ac:dyDescent="0.25">
      <c r="I41" s="280" t="s">
        <v>383</v>
      </c>
      <c r="J41" s="280">
        <v>0.223</v>
      </c>
      <c r="K41" s="280">
        <v>12</v>
      </c>
    </row>
  </sheetData>
  <mergeCells count="11">
    <mergeCell ref="A8:B8"/>
    <mergeCell ref="A9:B9"/>
    <mergeCell ref="A10:B10"/>
    <mergeCell ref="A11:B11"/>
    <mergeCell ref="A1:B1"/>
    <mergeCell ref="A2:B2"/>
    <mergeCell ref="A3:B3"/>
    <mergeCell ref="A4:B4"/>
    <mergeCell ref="A5:B5"/>
    <mergeCell ref="A6:B6"/>
    <mergeCell ref="A7:B7"/>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42"/>
  <sheetViews>
    <sheetView zoomScale="75" workbookViewId="0">
      <selection activeCell="G10" sqref="G10"/>
    </sheetView>
  </sheetViews>
  <sheetFormatPr defaultRowHeight="12.75" x14ac:dyDescent="0.2"/>
  <cols>
    <col min="1" max="1" width="32.5703125" customWidth="1"/>
    <col min="2" max="2" width="17.85546875" customWidth="1"/>
    <col min="3" max="3" width="11.140625" customWidth="1"/>
    <col min="4" max="4" width="15.5703125" customWidth="1"/>
    <col min="5" max="5" width="16.5703125" customWidth="1"/>
  </cols>
  <sheetData>
    <row r="1" spans="1:5" ht="18" x14ac:dyDescent="0.25">
      <c r="A1" s="15" t="s">
        <v>213</v>
      </c>
      <c r="B1" s="50"/>
      <c r="D1" s="83" t="s">
        <v>202</v>
      </c>
    </row>
    <row r="2" spans="1:5" x14ac:dyDescent="0.2">
      <c r="A2" s="211" t="s">
        <v>270</v>
      </c>
    </row>
    <row r="3" spans="1:5" s="32" customFormat="1" ht="15" x14ac:dyDescent="0.25">
      <c r="A3" s="31" t="s">
        <v>13</v>
      </c>
      <c r="B3" s="95" t="s">
        <v>211</v>
      </c>
      <c r="D3" s="37" t="s">
        <v>212</v>
      </c>
    </row>
    <row r="4" spans="1:5" s="32" customFormat="1" ht="16.5" x14ac:dyDescent="0.2">
      <c r="A4" s="32" t="s">
        <v>34</v>
      </c>
      <c r="B4" s="53"/>
      <c r="C4" s="37" t="s">
        <v>35</v>
      </c>
      <c r="D4" s="38">
        <f>D5/B29/1.1</f>
        <v>1182.0442857142857</v>
      </c>
      <c r="E4" s="32" t="str">
        <f>IF(AND(B4&lt;&gt;"",B7&lt;&gt;"",B8&lt;&gt;""),"NOT required if H and D specifieded!","")</f>
        <v/>
      </c>
    </row>
    <row r="5" spans="1:5" s="32" customFormat="1" ht="16.5" x14ac:dyDescent="0.2">
      <c r="A5" s="32" t="s">
        <v>36</v>
      </c>
      <c r="B5" s="102">
        <f>Calculator!B46*1.1</f>
        <v>15472.959700000003</v>
      </c>
      <c r="C5" s="37" t="s">
        <v>35</v>
      </c>
      <c r="D5" s="38">
        <f>IF(B4="",IF(B5="",PI()*D8*D8*D7/4,B5),B4*B29)</f>
        <v>15472.959700000003</v>
      </c>
      <c r="E5" s="83" t="s">
        <v>208</v>
      </c>
    </row>
    <row r="6" spans="1:5" s="32" customFormat="1" ht="14.25" x14ac:dyDescent="0.2">
      <c r="A6" s="32" t="s">
        <v>113</v>
      </c>
      <c r="B6" s="33"/>
      <c r="C6" s="37" t="s">
        <v>112</v>
      </c>
      <c r="D6" s="71">
        <f>D4*B27</f>
        <v>61466.302857142859</v>
      </c>
    </row>
    <row r="7" spans="1:5" s="32" customFormat="1" ht="14.25" x14ac:dyDescent="0.2">
      <c r="A7" s="32" t="s">
        <v>37</v>
      </c>
      <c r="B7" s="89"/>
      <c r="C7" s="37" t="s">
        <v>38</v>
      </c>
      <c r="D7" s="38">
        <f>IF(B7="",IF(B8="",(4*B9^2*D5/PI())^(1/3),4*D5/B8/B8/PI()),B7)</f>
        <v>42.872732885413448</v>
      </c>
    </row>
    <row r="8" spans="1:5" s="32" customFormat="1" ht="14.25" x14ac:dyDescent="0.2">
      <c r="A8" s="32" t="s">
        <v>39</v>
      </c>
      <c r="B8" s="89"/>
      <c r="C8" s="37" t="s">
        <v>38</v>
      </c>
      <c r="D8" s="38">
        <f>IF(B8="",IF(B7="",(4*D5/PI()/B9)^(1/3),SQRT(4*D5/PI()/B7)),B8)</f>
        <v>21.436366442706721</v>
      </c>
    </row>
    <row r="9" spans="1:5" s="32" customFormat="1" ht="14.25" x14ac:dyDescent="0.2">
      <c r="A9" s="87" t="s">
        <v>207</v>
      </c>
      <c r="B9" s="53">
        <v>2</v>
      </c>
      <c r="C9" s="37"/>
      <c r="D9" s="38">
        <f>D7/D8</f>
        <v>2.0000000000000004</v>
      </c>
    </row>
    <row r="10" spans="1:5" s="32" customFormat="1" ht="14.25" x14ac:dyDescent="0.2">
      <c r="A10" s="88" t="str">
        <f>IF(OR(AND(B7="",B8="",B9=""),AND(B9&lt;&gt;"",B7&lt;&gt;"",B8&lt;&gt;"")),"Any TWO of H/D, H and D required!",IF(AND(B4&lt;&gt;"",B5&lt;&gt;""),"Volume per day OVERIDES Digester Volume!",""))</f>
        <v/>
      </c>
      <c r="B10" s="53"/>
    </row>
    <row r="11" spans="1:5" s="32" customFormat="1" ht="16.5" x14ac:dyDescent="0.2">
      <c r="A11" s="32" t="s">
        <v>40</v>
      </c>
      <c r="B11" s="53">
        <v>15</v>
      </c>
      <c r="C11" s="32" t="s">
        <v>41</v>
      </c>
    </row>
    <row r="12" spans="1:5" s="32" customFormat="1" ht="16.5" x14ac:dyDescent="0.2">
      <c r="A12" s="32" t="s">
        <v>42</v>
      </c>
      <c r="B12" s="53">
        <v>15</v>
      </c>
      <c r="C12" s="32" t="s">
        <v>41</v>
      </c>
    </row>
    <row r="13" spans="1:5" s="32" customFormat="1" ht="14.25" x14ac:dyDescent="0.2">
      <c r="A13" s="32" t="s">
        <v>43</v>
      </c>
      <c r="B13" s="53">
        <v>0</v>
      </c>
      <c r="C13" s="32" t="s">
        <v>44</v>
      </c>
    </row>
    <row r="14" spans="1:5" s="32" customFormat="1" ht="14.25" x14ac:dyDescent="0.2">
      <c r="A14" s="32" t="s">
        <v>45</v>
      </c>
      <c r="B14" s="53">
        <v>70</v>
      </c>
      <c r="C14" s="32" t="s">
        <v>46</v>
      </c>
    </row>
    <row r="15" spans="1:5" s="32" customFormat="1" ht="16.5" x14ac:dyDescent="0.2">
      <c r="A15" s="32" t="s">
        <v>47</v>
      </c>
      <c r="B15" s="53">
        <v>3.2000000000000001E-2</v>
      </c>
      <c r="C15" s="32" t="s">
        <v>48</v>
      </c>
    </row>
    <row r="16" spans="1:5" s="32" customFormat="1" ht="16.5" x14ac:dyDescent="0.2">
      <c r="A16" s="32" t="s">
        <v>49</v>
      </c>
      <c r="B16" s="53">
        <v>39</v>
      </c>
      <c r="C16" s="32" t="s">
        <v>50</v>
      </c>
    </row>
    <row r="17" spans="1:6" s="32" customFormat="1" ht="16.5" x14ac:dyDescent="0.2">
      <c r="A17" s="32" t="s">
        <v>51</v>
      </c>
      <c r="B17" s="53">
        <v>4.16</v>
      </c>
      <c r="C17" s="32" t="s">
        <v>52</v>
      </c>
    </row>
    <row r="18" spans="1:6" s="32" customFormat="1" ht="14.25" x14ac:dyDescent="0.2"/>
    <row r="19" spans="1:6" s="32" customFormat="1" ht="15" x14ac:dyDescent="0.25">
      <c r="A19" s="103" t="s">
        <v>53</v>
      </c>
      <c r="B19" s="104"/>
      <c r="C19" s="104"/>
    </row>
    <row r="20" spans="1:6" s="32" customFormat="1" ht="16.5" x14ac:dyDescent="0.2">
      <c r="A20" s="104" t="s">
        <v>197</v>
      </c>
      <c r="B20" s="105">
        <f>'Temp&amp;RT'!$G$43*D5/1.1</f>
        <v>16028.653497632475</v>
      </c>
      <c r="C20" s="104" t="s">
        <v>54</v>
      </c>
      <c r="D20" s="187" t="s">
        <v>108</v>
      </c>
      <c r="E20" s="188">
        <f>B20*(1+(100-$E$21)/100)</f>
        <v>22440.114896685463</v>
      </c>
      <c r="F20" s="104" t="s">
        <v>54</v>
      </c>
    </row>
    <row r="21" spans="1:6" s="32" customFormat="1" ht="14.25" x14ac:dyDescent="0.2">
      <c r="A21" s="104" t="s">
        <v>55</v>
      </c>
      <c r="B21" s="105">
        <f>D4*B17*('VS&amp;RT'!C30-CFST!B12)*1000/24/60/60</f>
        <v>1138.2648677248678</v>
      </c>
      <c r="C21" s="104" t="s">
        <v>56</v>
      </c>
      <c r="D21" s="95" t="s">
        <v>251</v>
      </c>
      <c r="E21" s="189">
        <v>60</v>
      </c>
      <c r="F21" s="32" t="s">
        <v>252</v>
      </c>
    </row>
    <row r="22" spans="1:6" s="32" customFormat="1" ht="14.25" x14ac:dyDescent="0.2">
      <c r="A22" s="104" t="s">
        <v>57</v>
      </c>
      <c r="B22" s="105">
        <f>('VS&amp;RT'!C30-B11)/(B13/B15/1000+1/6)*PI()*(D8*D8/4+D8*D7)/1000</f>
        <v>389.7767963769225</v>
      </c>
      <c r="C22" s="104" t="s">
        <v>56</v>
      </c>
    </row>
    <row r="23" spans="1:6" s="32" customFormat="1" ht="16.5" x14ac:dyDescent="0.2">
      <c r="A23" s="104" t="s">
        <v>198</v>
      </c>
      <c r="B23" s="105">
        <f>B20-(B21+B22)/B16*60*60*24/10/B14</f>
        <v>11192.653505749888</v>
      </c>
      <c r="C23" s="104" t="s">
        <v>54</v>
      </c>
      <c r="D23" s="187" t="s">
        <v>108</v>
      </c>
      <c r="E23" s="188">
        <f>B23*(1+(100-$E$21)/100)</f>
        <v>15669.714908049842</v>
      </c>
      <c r="F23" s="104" t="s">
        <v>54</v>
      </c>
    </row>
    <row r="24" spans="1:6" s="32" customFormat="1" ht="14.25" x14ac:dyDescent="0.2">
      <c r="A24" s="104" t="s">
        <v>58</v>
      </c>
      <c r="B24" s="105">
        <f>B23*B16*1000/24/60/60</f>
        <v>5052.2394296787688</v>
      </c>
      <c r="C24" s="104" t="s">
        <v>56</v>
      </c>
    </row>
    <row r="25" spans="1:6" s="32" customFormat="1" ht="14.25" x14ac:dyDescent="0.2"/>
    <row r="26" spans="1:6" s="32" customFormat="1" ht="15" x14ac:dyDescent="0.25">
      <c r="A26" s="31" t="s">
        <v>59</v>
      </c>
    </row>
    <row r="27" spans="1:6" s="32" customFormat="1" ht="16.5" x14ac:dyDescent="0.2">
      <c r="A27" s="32" t="s">
        <v>204</v>
      </c>
      <c r="B27" s="32">
        <f>'Temp&amp;RT'!B30</f>
        <v>52</v>
      </c>
      <c r="C27" s="32" t="s">
        <v>109</v>
      </c>
    </row>
    <row r="28" spans="1:6" s="32" customFormat="1" ht="16.5" x14ac:dyDescent="0.2">
      <c r="A28" s="32" t="s">
        <v>60</v>
      </c>
      <c r="B28" s="32">
        <f>'VS&amp;RT'!C30</f>
        <v>35</v>
      </c>
      <c r="C28" s="32" t="s">
        <v>41</v>
      </c>
    </row>
    <row r="29" spans="1:6" s="32" customFormat="1" ht="14.25" x14ac:dyDescent="0.2">
      <c r="A29" s="32" t="s">
        <v>61</v>
      </c>
      <c r="B29" s="32">
        <f>'Temp&amp;VS'!D30</f>
        <v>11.9</v>
      </c>
      <c r="C29" s="32" t="s">
        <v>19</v>
      </c>
    </row>
    <row r="30" spans="1:6" s="32" customFormat="1" ht="16.5" x14ac:dyDescent="0.2">
      <c r="A30" s="32" t="s">
        <v>205</v>
      </c>
      <c r="B30" s="86">
        <f>'Temp&amp;RT'!I43</f>
        <v>24.879774994307123</v>
      </c>
      <c r="C30" s="32" t="s">
        <v>109</v>
      </c>
    </row>
    <row r="31" spans="1:6" s="32" customFormat="1" ht="14.25" x14ac:dyDescent="0.2">
      <c r="A31" s="32" t="s">
        <v>206</v>
      </c>
      <c r="B31" s="86">
        <f>'Temp&amp;RT'!J43*100</f>
        <v>52.154278857101687</v>
      </c>
      <c r="C31" s="32" t="s">
        <v>46</v>
      </c>
    </row>
    <row r="32" spans="1:6" s="32" customFormat="1" ht="14.25" x14ac:dyDescent="0.2">
      <c r="B32" s="33"/>
    </row>
    <row r="33" spans="1:4" s="32" customFormat="1" ht="15" x14ac:dyDescent="0.25">
      <c r="A33" s="31" t="s">
        <v>62</v>
      </c>
    </row>
    <row r="34" spans="1:4" s="32" customFormat="1" ht="14.25" x14ac:dyDescent="0.2">
      <c r="B34" s="32" t="s">
        <v>63</v>
      </c>
      <c r="D34" s="32" t="s">
        <v>64</v>
      </c>
    </row>
    <row r="35" spans="1:4" s="32" customFormat="1" ht="16.5" x14ac:dyDescent="0.2">
      <c r="A35" s="32" t="s">
        <v>65</v>
      </c>
      <c r="B35" s="57">
        <v>100</v>
      </c>
      <c r="C35" s="32" t="s">
        <v>66</v>
      </c>
      <c r="D35" s="34">
        <f>B35*D5</f>
        <v>1547295.9700000002</v>
      </c>
    </row>
    <row r="36" spans="1:4" s="32" customFormat="1" ht="14.25" x14ac:dyDescent="0.2">
      <c r="A36" s="32" t="s">
        <v>67</v>
      </c>
      <c r="B36" s="57">
        <v>50</v>
      </c>
      <c r="C36" s="32" t="s">
        <v>68</v>
      </c>
      <c r="D36" s="34">
        <f>B36*(B21+B22)</f>
        <v>76402.083205089511</v>
      </c>
    </row>
    <row r="37" spans="1:4" s="32" customFormat="1" ht="16.5" x14ac:dyDescent="0.2">
      <c r="A37" s="32" t="s">
        <v>69</v>
      </c>
      <c r="B37" s="57">
        <v>20</v>
      </c>
      <c r="C37" s="32" t="s">
        <v>70</v>
      </c>
      <c r="D37" s="34">
        <f>IF(B13&gt;0,B37*PI()*(D8*D7+D8*D8/4),0)</f>
        <v>0</v>
      </c>
    </row>
    <row r="38" spans="1:4" s="32" customFormat="1" ht="14.25" x14ac:dyDescent="0.2">
      <c r="A38" s="32" t="s">
        <v>71</v>
      </c>
      <c r="B38" s="57">
        <f>D35</f>
        <v>1547295.9700000002</v>
      </c>
      <c r="D38" s="35">
        <f>B38</f>
        <v>1547295.9700000002</v>
      </c>
    </row>
    <row r="39" spans="1:4" s="32" customFormat="1" ht="14.25" x14ac:dyDescent="0.2">
      <c r="C39" s="32" t="s">
        <v>72</v>
      </c>
      <c r="D39" s="35">
        <f>SUM(D35:D38)</f>
        <v>3170994.0232050898</v>
      </c>
    </row>
    <row r="40" spans="1:4" s="32" customFormat="1" ht="14.25" x14ac:dyDescent="0.2">
      <c r="A40" s="32" t="s">
        <v>73</v>
      </c>
      <c r="B40" s="53">
        <v>20</v>
      </c>
      <c r="C40" s="32" t="s">
        <v>74</v>
      </c>
    </row>
    <row r="41" spans="1:4" s="32" customFormat="1" ht="14.25" x14ac:dyDescent="0.2"/>
    <row r="42" spans="1:4" s="32" customFormat="1" ht="17.25" x14ac:dyDescent="0.25">
      <c r="A42" s="106" t="s">
        <v>75</v>
      </c>
      <c r="B42" s="107">
        <f>IF(B23&gt;0,D39/B40/365/B23,"No Excess Methane")</f>
        <v>3.8809630145492824E-2</v>
      </c>
      <c r="C42" s="103" t="s">
        <v>76</v>
      </c>
    </row>
  </sheetData>
  <phoneticPr fontId="3" type="noConversion"/>
  <hyperlinks>
    <hyperlink ref="D1" location="Instructions!A16" display="Return to Instructions"/>
    <hyperlink ref="E5" location="PlugFlow!A1" display="Return to Plug Flow"/>
  </hyperlinks>
  <pageMargins left="0.75" right="0.75" top="1" bottom="1" header="0.5" footer="0.5"/>
  <pageSetup orientation="portrait" horizontalDpi="300" verticalDpi="144" r:id="rId1"/>
  <headerFooter alignWithMargins="0">
    <oddHeader>&amp;L&amp;F&amp;C&amp;A&amp;R&amp;D &amp;T</oddHeader>
    <oddFooter>&amp;CPage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C62"/>
  <sheetViews>
    <sheetView tabSelected="1" zoomScale="80" zoomScaleNormal="80" workbookViewId="0">
      <selection activeCell="I3" sqref="I3:J3"/>
    </sheetView>
  </sheetViews>
  <sheetFormatPr defaultRowHeight="12.75" x14ac:dyDescent="0.2"/>
  <cols>
    <col min="1" max="1" width="11.28515625" bestFit="1" customWidth="1"/>
  </cols>
  <sheetData>
    <row r="1" spans="1:27" ht="18" x14ac:dyDescent="0.25">
      <c r="A1" s="15" t="s">
        <v>250</v>
      </c>
      <c r="I1" s="211" t="s">
        <v>270</v>
      </c>
    </row>
    <row r="2" spans="1:27" ht="13.5" thickBot="1" x14ac:dyDescent="0.25">
      <c r="A2" t="s">
        <v>24</v>
      </c>
      <c r="J2" t="s">
        <v>25</v>
      </c>
    </row>
    <row r="3" spans="1:27" ht="15" thickBot="1" x14ac:dyDescent="0.25">
      <c r="A3" s="59"/>
      <c r="B3" s="244" t="s">
        <v>269</v>
      </c>
      <c r="C3" s="186">
        <f>'Temp&amp;RT'!C34</f>
        <v>35</v>
      </c>
      <c r="D3" s="122" t="s">
        <v>229</v>
      </c>
      <c r="E3" s="282" t="s">
        <v>230</v>
      </c>
      <c r="F3" s="284"/>
      <c r="G3" s="282" t="s">
        <v>231</v>
      </c>
      <c r="H3" s="284"/>
      <c r="I3" s="282" t="s">
        <v>232</v>
      </c>
      <c r="J3" s="284"/>
      <c r="Q3" s="60"/>
      <c r="R3" s="231"/>
      <c r="S3" s="232"/>
      <c r="T3" s="233"/>
      <c r="U3" s="234"/>
      <c r="V3" s="235"/>
      <c r="W3" s="235"/>
      <c r="X3" s="235"/>
      <c r="Y3" s="235"/>
      <c r="Z3" s="294"/>
      <c r="AA3" s="294"/>
    </row>
    <row r="16" spans="1:27" x14ac:dyDescent="0.2">
      <c r="A16" s="17"/>
      <c r="R16" s="17"/>
    </row>
    <row r="17" spans="1:18" x14ac:dyDescent="0.2">
      <c r="A17" s="17"/>
      <c r="R17" s="17"/>
    </row>
    <row r="18" spans="1:18" x14ac:dyDescent="0.2">
      <c r="A18" s="17"/>
      <c r="R18" s="17"/>
    </row>
    <row r="33" spans="1:29" ht="13.5" thickBot="1" x14ac:dyDescent="0.25">
      <c r="F33" s="60"/>
      <c r="G33" s="60"/>
      <c r="H33" s="60"/>
      <c r="I33" s="60"/>
      <c r="J33" s="60"/>
      <c r="K33" s="60"/>
      <c r="W33" s="60"/>
      <c r="X33" s="60"/>
      <c r="Y33" s="60"/>
      <c r="Z33" s="60"/>
      <c r="AA33" s="60"/>
      <c r="AB33" s="60"/>
    </row>
    <row r="34" spans="1:29" ht="13.5" thickBot="1" x14ac:dyDescent="0.25">
      <c r="G34" s="121" t="s">
        <v>22</v>
      </c>
      <c r="H34" s="186">
        <f>Calculator!$U$20</f>
        <v>0.337675</v>
      </c>
      <c r="I34" s="186" t="s">
        <v>23</v>
      </c>
      <c r="J34" s="59" t="str">
        <f>VLOOKUP(Calculator!$T$20,Calculator!$S$22:$T$36,2)</f>
        <v>Municipal Refuse</v>
      </c>
      <c r="K34" s="282" t="s">
        <v>235</v>
      </c>
      <c r="L34" s="284"/>
      <c r="X34" s="121"/>
      <c r="Y34" s="186"/>
      <c r="Z34" s="186"/>
      <c r="AA34" s="59"/>
      <c r="AB34" s="235"/>
      <c r="AC34" s="235"/>
    </row>
    <row r="35" spans="1:29" x14ac:dyDescent="0.2">
      <c r="F35" s="60"/>
      <c r="G35" s="60"/>
      <c r="H35" s="60"/>
      <c r="I35" s="60"/>
      <c r="J35" s="60"/>
      <c r="K35" s="60"/>
      <c r="W35" s="60"/>
      <c r="X35" s="60"/>
      <c r="Y35" s="60"/>
      <c r="Z35" s="60"/>
      <c r="AA35" s="60"/>
      <c r="AB35" s="60"/>
    </row>
    <row r="40" spans="1:29" ht="15" thickBot="1" x14ac:dyDescent="0.25">
      <c r="A40" s="59" t="s">
        <v>225</v>
      </c>
      <c r="D40" s="17" t="s">
        <v>238</v>
      </c>
      <c r="G40" t="s">
        <v>226</v>
      </c>
      <c r="Q40" s="1" t="s">
        <v>268</v>
      </c>
      <c r="V40" s="17" t="s">
        <v>238</v>
      </c>
      <c r="W40" t="s">
        <v>226</v>
      </c>
    </row>
    <row r="41" spans="1:29" ht="13.5" thickBot="1" x14ac:dyDescent="0.25">
      <c r="B41" s="123" t="s">
        <v>227</v>
      </c>
      <c r="C41" s="138">
        <f>'VS&amp;RT'!B39</f>
        <v>32</v>
      </c>
      <c r="D41" s="138">
        <f>'VS&amp;RT'!B40</f>
        <v>37</v>
      </c>
      <c r="E41" s="138">
        <f>'VS&amp;RT'!B41</f>
        <v>42</v>
      </c>
      <c r="F41" s="138">
        <f>'VS&amp;RT'!B42</f>
        <v>47</v>
      </c>
      <c r="G41" s="139">
        <f>'VS&amp;RT'!B43</f>
        <v>52</v>
      </c>
      <c r="H41" s="138">
        <f>'VS&amp;RT'!B44</f>
        <v>57</v>
      </c>
      <c r="I41" s="138">
        <f>'VS&amp;RT'!B45</f>
        <v>62</v>
      </c>
      <c r="J41" s="138">
        <f>'VS&amp;RT'!B46</f>
        <v>67</v>
      </c>
      <c r="K41" s="239">
        <f>'VS&amp;RT'!B47</f>
        <v>72</v>
      </c>
      <c r="R41" s="123" t="s">
        <v>227</v>
      </c>
      <c r="S41" s="138">
        <f t="shared" ref="S41:AA41" si="0">C41</f>
        <v>32</v>
      </c>
      <c r="T41" s="138">
        <f t="shared" si="0"/>
        <v>37</v>
      </c>
      <c r="U41" s="138">
        <f t="shared" si="0"/>
        <v>42</v>
      </c>
      <c r="V41" s="138">
        <f t="shared" si="0"/>
        <v>47</v>
      </c>
      <c r="W41" s="236">
        <f t="shared" si="0"/>
        <v>52</v>
      </c>
      <c r="X41" s="138">
        <f t="shared" si="0"/>
        <v>57</v>
      </c>
      <c r="Y41" s="138">
        <f t="shared" si="0"/>
        <v>62</v>
      </c>
      <c r="Z41" s="138">
        <f t="shared" si="0"/>
        <v>67</v>
      </c>
      <c r="AA41" s="239">
        <f t="shared" si="0"/>
        <v>72</v>
      </c>
    </row>
    <row r="42" spans="1:29" x14ac:dyDescent="0.2">
      <c r="B42" s="130">
        <f>'RT&amp;Temp'!D39</f>
        <v>3.9000000000000004</v>
      </c>
      <c r="C42" s="129">
        <f>IF($B42&lt;1/(0.566*(1+1110*EXP(-1*0.187*$C$3))^(1/(1-2.83))),"",$H$34*C$41/$B42*(1-(0.6+0.0006*EXP(0.1185*C$41))/(IF($C$3&lt;5,0,IF($C$3&gt;60,NA(),0.566*(1+1110*EXP(-1*0.187*$C$3))^(1/(1-2.83))))*$B42-1+(0.6+0.0006*EXP(0.1185*C$41)))))</f>
        <v>0.91865115688823085</v>
      </c>
      <c r="D42" s="129">
        <f>IF($B42&lt;1/(0.566*(1+1110*EXP(-1*0.187*$C$3))^(1/(1-2.83))),"",$H$34*D$41/$B42*(1-(0.6+0.0006*EXP(0.1185*D$41))/(IF($C$3&lt;5,0,IF($C$3&gt;60,NA(),0.566*(1+1110*EXP(-1*0.187*$C$3))^(1/(1-2.83))))*$B42-1+(0.6+0.0006*EXP(0.1185*D$41)))))</f>
        <v>1.0383621548840232</v>
      </c>
      <c r="E42" s="129">
        <f t="shared" ref="E42:K50" si="1">IF($B42&lt;1/(0.566*(1+1110*EXP(-1*0.187*$C$3))^(1/(1-2.83))),"",$H$34*E$41/$B42*(1-(0.6+0.0006*EXP(0.1185*E$41))/(IF($C$3&lt;5,0,IF($C$3&gt;60,NA(),0.566*(1+1110*EXP(-1*0.187*$C$3))^(1/(1-2.83))))*$B42-1+(0.6+0.0006*EXP(0.1185*E$41)))))</f>
        <v>1.13272622173279</v>
      </c>
      <c r="F42" s="129">
        <f t="shared" si="1"/>
        <v>1.1840836022942336</v>
      </c>
      <c r="G42" s="129">
        <f t="shared" si="1"/>
        <v>1.1706069741971969</v>
      </c>
      <c r="H42" s="129">
        <f t="shared" si="1"/>
        <v>1.0760306268629976</v>
      </c>
      <c r="I42" s="129">
        <f t="shared" si="1"/>
        <v>0.90594116584663398</v>
      </c>
      <c r="J42" s="129">
        <f t="shared" si="1"/>
        <v>0.6949847812338551</v>
      </c>
      <c r="K42" s="240">
        <f t="shared" si="1"/>
        <v>0.48984590086344704</v>
      </c>
      <c r="R42" s="130">
        <f t="shared" ref="R42:R50" si="2">B42</f>
        <v>3.9000000000000004</v>
      </c>
      <c r="S42" s="129">
        <f t="shared" ref="S42:S50" si="3">IF($B42&lt;1/(0.566*(1+1110*EXP(-1*0.187*$C$3))^(1/(1-2.83))),"",K54/S$41)</f>
        <v>0.11196060974575314</v>
      </c>
      <c r="T42" s="129">
        <f t="shared" ref="T42:T50" si="4">IF($B42&lt;1/(0.566*(1+1110*EXP(-1*0.187*$C$3))^(1/(1-2.83))),"",L54/T$41)</f>
        <v>0.10944898389318083</v>
      </c>
      <c r="U42" s="129">
        <f t="shared" ref="U42:U50" si="5">IF($B42&lt;1/(0.566*(1+1110*EXP(-1*0.187*$C$3))^(1/(1-2.83))),"",M54/U$41)</f>
        <v>0.10518172058947337</v>
      </c>
      <c r="V42" s="129">
        <f t="shared" ref="V42:V50" si="6">IF($B42&lt;1/(0.566*(1+1110*EXP(-1*0.187*$C$3))^(1/(1-2.83))),"",N54/V$41)</f>
        <v>9.8253745722287483E-2</v>
      </c>
      <c r="W42" s="129">
        <f t="shared" ref="W42:W50" si="7">IF($B42&lt;1/(0.566*(1+1110*EXP(-1*0.187*$C$3))^(1/(1-2.83))),"",O54/W$41)</f>
        <v>8.7795523064789771E-2</v>
      </c>
      <c r="X42" s="129">
        <f t="shared" ref="X42:X50" si="8">IF($B42&lt;1/(0.566*(1+1110*EXP(-1*0.187*$C$3))^(1/(1-2.83))),"",P54/X$41)</f>
        <v>7.3623148153784054E-2</v>
      </c>
      <c r="Y42" s="129">
        <f t="shared" ref="Y42:Y50" si="9">IF($B42&lt;1/(0.566*(1+1110*EXP(-1*0.187*$C$3))^(1/(1-2.83))),"",Q54/Y$41)</f>
        <v>5.6986621722610854E-2</v>
      </c>
      <c r="Z42" s="129">
        <f t="shared" ref="Z42:Z50" si="10">IF($B42&lt;1/(0.566*(1+1110*EXP(-1*0.187*$C$3))^(1/(1-2.83))),"",R54/Z$41)</f>
        <v>4.0454338012119929E-2</v>
      </c>
      <c r="AA42" s="240">
        <f t="shared" ref="AA42:AA50" si="11">IF($B42&lt;1/(0.566*(1+1110*EXP(-1*0.187*$C$3))^(1/(1-2.83))),"",S54/AA$41)</f>
        <v>2.6533319630103382E-2</v>
      </c>
    </row>
    <row r="43" spans="1:29" x14ac:dyDescent="0.2">
      <c r="B43" s="130">
        <f>'RT&amp;Temp'!D40</f>
        <v>5.9</v>
      </c>
      <c r="C43" s="129">
        <f t="shared" ref="C43:D50" si="12">IF($B43&lt;1/(0.566*(1+1110*EXP(-1*0.187*$C$3))^(1/(1-2.83))),"",$H$34*C$41/$B43*(1-(0.6+0.0006*EXP(0.1185*C$41))/(IF($C$3&lt;5,0,IF($C$3&gt;60,NA(),0.566*(1+1110*EXP(-1*0.187*$C$3))^(1/(1-2.83))))*$B43-1+(0.6+0.0006*EXP(0.1185*C$41)))))</f>
        <v>1.1184979473182126</v>
      </c>
      <c r="D43" s="129">
        <f t="shared" si="12"/>
        <v>1.2762074458892885</v>
      </c>
      <c r="E43" s="129">
        <f t="shared" si="1"/>
        <v>1.4149207766918546</v>
      </c>
      <c r="F43" s="129">
        <f t="shared" si="1"/>
        <v>1.519353922151977</v>
      </c>
      <c r="G43" s="129">
        <f t="shared" si="1"/>
        <v>1.5664611043451464</v>
      </c>
      <c r="H43" s="129">
        <f t="shared" si="1"/>
        <v>1.5287224091258576</v>
      </c>
      <c r="I43" s="129">
        <f t="shared" si="1"/>
        <v>1.3875471841453562</v>
      </c>
      <c r="J43" s="129">
        <f t="shared" si="1"/>
        <v>1.1539607229891993</v>
      </c>
      <c r="K43" s="240">
        <f t="shared" si="1"/>
        <v>0.87533107104019181</v>
      </c>
      <c r="R43" s="130">
        <f t="shared" si="2"/>
        <v>5.9</v>
      </c>
      <c r="S43" s="129">
        <f t="shared" si="3"/>
        <v>0.20622305903679547</v>
      </c>
      <c r="T43" s="129">
        <f t="shared" si="4"/>
        <v>0.2035033494796433</v>
      </c>
      <c r="U43" s="129">
        <f t="shared" si="5"/>
        <v>0.19876268053528431</v>
      </c>
      <c r="V43" s="129">
        <f t="shared" si="6"/>
        <v>0.19072740724886522</v>
      </c>
      <c r="W43" s="129">
        <f t="shared" si="7"/>
        <v>0.17773308683916084</v>
      </c>
      <c r="X43" s="129">
        <f t="shared" si="8"/>
        <v>0.15823617919022037</v>
      </c>
      <c r="Y43" s="129">
        <f t="shared" si="9"/>
        <v>0.1320407804267355</v>
      </c>
      <c r="Z43" s="129">
        <f t="shared" si="10"/>
        <v>0.10161743680054143</v>
      </c>
      <c r="AA43" s="240">
        <f t="shared" si="11"/>
        <v>7.172851832134905E-2</v>
      </c>
    </row>
    <row r="44" spans="1:29" x14ac:dyDescent="0.2">
      <c r="B44" s="130">
        <f>'RT&amp;Temp'!D41</f>
        <v>7.9</v>
      </c>
      <c r="C44" s="129">
        <f t="shared" si="12"/>
        <v>0.99219313532739617</v>
      </c>
      <c r="D44" s="129">
        <f t="shared" si="12"/>
        <v>1.1365089943692475</v>
      </c>
      <c r="E44" s="129">
        <f t="shared" si="1"/>
        <v>1.2686632521328611</v>
      </c>
      <c r="F44" s="129">
        <f t="shared" si="1"/>
        <v>1.378292447159204</v>
      </c>
      <c r="G44" s="129">
        <f t="shared" si="1"/>
        <v>1.4485229262960826</v>
      </c>
      <c r="H44" s="129">
        <f t="shared" si="1"/>
        <v>1.4558946980964762</v>
      </c>
      <c r="I44" s="129">
        <f t="shared" si="1"/>
        <v>1.3767551724532185</v>
      </c>
      <c r="J44" s="129">
        <f t="shared" si="1"/>
        <v>1.2034887216971595</v>
      </c>
      <c r="K44" s="240">
        <f t="shared" si="1"/>
        <v>0.96114760582944669</v>
      </c>
      <c r="R44" s="130">
        <f t="shared" si="2"/>
        <v>7.9</v>
      </c>
      <c r="S44" s="129">
        <f t="shared" si="3"/>
        <v>0.24494768028395095</v>
      </c>
      <c r="T44" s="129">
        <f t="shared" si="4"/>
        <v>0.24266002852748797</v>
      </c>
      <c r="U44" s="129">
        <f t="shared" si="5"/>
        <v>0.2386295164726096</v>
      </c>
      <c r="V44" s="129">
        <f t="shared" si="6"/>
        <v>0.23167043260761089</v>
      </c>
      <c r="W44" s="129">
        <f t="shared" si="7"/>
        <v>0.22006405995652026</v>
      </c>
      <c r="X44" s="129">
        <f t="shared" si="8"/>
        <v>0.20178189675372216</v>
      </c>
      <c r="Y44" s="129">
        <f t="shared" si="9"/>
        <v>0.17542525584484558</v>
      </c>
      <c r="Z44" s="129">
        <f t="shared" si="10"/>
        <v>0.1419038940508591</v>
      </c>
      <c r="AA44" s="240">
        <f t="shared" si="11"/>
        <v>0.10545925119517541</v>
      </c>
    </row>
    <row r="45" spans="1:29" x14ac:dyDescent="0.2">
      <c r="B45" s="130">
        <f>'RT&amp;Temp'!D42</f>
        <v>9.9</v>
      </c>
      <c r="C45" s="129">
        <f t="shared" si="12"/>
        <v>0.85995408983183586</v>
      </c>
      <c r="D45" s="129">
        <f t="shared" si="12"/>
        <v>0.98713347383123851</v>
      </c>
      <c r="E45" s="129">
        <f t="shared" si="1"/>
        <v>1.1060685235618506</v>
      </c>
      <c r="F45" s="129">
        <f t="shared" si="1"/>
        <v>1.2095130219613739</v>
      </c>
      <c r="G45" s="129">
        <f t="shared" si="1"/>
        <v>1.2851735525132941</v>
      </c>
      <c r="H45" s="129">
        <f t="shared" si="1"/>
        <v>1.3145690770479441</v>
      </c>
      <c r="I45" s="129">
        <f t="shared" si="1"/>
        <v>1.2756512017901152</v>
      </c>
      <c r="J45" s="129">
        <f t="shared" si="1"/>
        <v>1.1535107970059393</v>
      </c>
      <c r="K45" s="240">
        <f t="shared" si="1"/>
        <v>0.95706714058103093</v>
      </c>
      <c r="R45" s="130">
        <f t="shared" si="2"/>
        <v>9.9</v>
      </c>
      <c r="S45" s="129">
        <f t="shared" si="3"/>
        <v>0.26604829654172424</v>
      </c>
      <c r="T45" s="129">
        <f t="shared" si="4"/>
        <v>0.26412490245754761</v>
      </c>
      <c r="U45" s="129">
        <f t="shared" si="5"/>
        <v>0.2607161519824362</v>
      </c>
      <c r="V45" s="129">
        <f t="shared" si="6"/>
        <v>0.2547697642003745</v>
      </c>
      <c r="W45" s="129">
        <f t="shared" si="7"/>
        <v>0.24467727249772331</v>
      </c>
      <c r="X45" s="129">
        <f t="shared" si="8"/>
        <v>0.22831989232937977</v>
      </c>
      <c r="Y45" s="129">
        <f t="shared" si="9"/>
        <v>0.2036926918987442</v>
      </c>
      <c r="Z45" s="129">
        <f t="shared" si="10"/>
        <v>0.17044413269192238</v>
      </c>
      <c r="AA45" s="240">
        <f t="shared" si="11"/>
        <v>0.13159673182989173</v>
      </c>
    </row>
    <row r="46" spans="1:29" x14ac:dyDescent="0.2">
      <c r="A46" t="s">
        <v>226</v>
      </c>
      <c r="B46" s="131">
        <f>'RT&amp;Temp'!D43</f>
        <v>11.9</v>
      </c>
      <c r="C46" s="129">
        <f t="shared" si="12"/>
        <v>0.75112859785443087</v>
      </c>
      <c r="D46" s="129">
        <f t="shared" si="12"/>
        <v>0.86337072998600894</v>
      </c>
      <c r="E46" s="129">
        <f t="shared" si="1"/>
        <v>0.96970041268516416</v>
      </c>
      <c r="F46" s="129">
        <f t="shared" si="1"/>
        <v>1.0648193960800347</v>
      </c>
      <c r="G46" s="167">
        <f t="shared" si="1"/>
        <v>1.1395052523400369</v>
      </c>
      <c r="H46" s="129">
        <f t="shared" si="1"/>
        <v>1.1792118404598662</v>
      </c>
      <c r="I46" s="129">
        <f t="shared" si="1"/>
        <v>1.16482854118488</v>
      </c>
      <c r="J46" s="129">
        <f t="shared" si="1"/>
        <v>1.0794417333320909</v>
      </c>
      <c r="K46" s="240">
        <f t="shared" si="1"/>
        <v>0.92235979979024485</v>
      </c>
      <c r="Q46" t="s">
        <v>226</v>
      </c>
      <c r="R46" s="238">
        <f t="shared" si="2"/>
        <v>11.9</v>
      </c>
      <c r="S46" s="129">
        <f t="shared" si="3"/>
        <v>0.27932594732711646</v>
      </c>
      <c r="T46" s="129">
        <f t="shared" si="4"/>
        <v>0.27767869423874342</v>
      </c>
      <c r="U46" s="129">
        <f t="shared" si="5"/>
        <v>0.27474845026079653</v>
      </c>
      <c r="V46" s="129">
        <f t="shared" si="6"/>
        <v>0.26960320879473221</v>
      </c>
      <c r="W46" s="237">
        <f t="shared" si="7"/>
        <v>0.26077139428550844</v>
      </c>
      <c r="X46" s="129">
        <f t="shared" si="8"/>
        <v>0.24618633160477907</v>
      </c>
      <c r="Y46" s="129">
        <f t="shared" si="9"/>
        <v>0.22357192967903342</v>
      </c>
      <c r="Z46" s="129">
        <f t="shared" si="10"/>
        <v>0.19172174069629677</v>
      </c>
      <c r="AA46" s="240">
        <f t="shared" si="11"/>
        <v>0.15244557802088768</v>
      </c>
    </row>
    <row r="47" spans="1:29" x14ac:dyDescent="0.2">
      <c r="B47" s="130">
        <f>'RT&amp;Temp'!D44</f>
        <v>13.9</v>
      </c>
      <c r="C47" s="129">
        <f t="shared" si="12"/>
        <v>0.66405935830008866</v>
      </c>
      <c r="D47" s="129">
        <f t="shared" si="12"/>
        <v>0.76399520075011851</v>
      </c>
      <c r="E47" s="129">
        <f t="shared" si="1"/>
        <v>0.85949747675191113</v>
      </c>
      <c r="F47" s="129">
        <f t="shared" si="1"/>
        <v>0.94654015938320368</v>
      </c>
      <c r="G47" s="129">
        <f t="shared" si="1"/>
        <v>1.017991067852493</v>
      </c>
      <c r="H47" s="129">
        <f t="shared" si="1"/>
        <v>1.0622282209024951</v>
      </c>
      <c r="I47" s="129">
        <f t="shared" si="1"/>
        <v>1.062984594686452</v>
      </c>
      <c r="J47" s="129">
        <f t="shared" si="1"/>
        <v>1.0035346439177144</v>
      </c>
      <c r="K47" s="240">
        <f t="shared" si="1"/>
        <v>0.87779635962862912</v>
      </c>
      <c r="R47" s="130">
        <f t="shared" si="2"/>
        <v>13.9</v>
      </c>
      <c r="S47" s="129">
        <f t="shared" si="3"/>
        <v>0.28845078376160105</v>
      </c>
      <c r="T47" s="129">
        <f t="shared" si="4"/>
        <v>0.28701441325477423</v>
      </c>
      <c r="U47" s="129">
        <f t="shared" si="5"/>
        <v>0.28445273635360868</v>
      </c>
      <c r="V47" s="129">
        <f t="shared" si="6"/>
        <v>0.27993421734950069</v>
      </c>
      <c r="W47" s="129">
        <f t="shared" si="7"/>
        <v>0.27211684313749335</v>
      </c>
      <c r="X47" s="129">
        <f t="shared" si="8"/>
        <v>0.25903460123762601</v>
      </c>
      <c r="Y47" s="129">
        <f t="shared" si="9"/>
        <v>0.23831428816357553</v>
      </c>
      <c r="Z47" s="129">
        <f t="shared" si="10"/>
        <v>0.20819599329039151</v>
      </c>
      <c r="AA47" s="240">
        <f t="shared" si="11"/>
        <v>0.16946346387274924</v>
      </c>
    </row>
    <row r="48" spans="1:29" x14ac:dyDescent="0.2">
      <c r="B48" s="130">
        <f>'RT&amp;Temp'!D45</f>
        <v>15.9</v>
      </c>
      <c r="C48" s="129">
        <f t="shared" si="12"/>
        <v>0.59392729423335255</v>
      </c>
      <c r="D48" s="129">
        <f t="shared" si="12"/>
        <v>0.68376926057597343</v>
      </c>
      <c r="E48" s="129">
        <f t="shared" si="1"/>
        <v>0.77016858564266122</v>
      </c>
      <c r="F48" s="129">
        <f t="shared" si="1"/>
        <v>0.84996876791025577</v>
      </c>
      <c r="G48" s="129">
        <f t="shared" si="1"/>
        <v>0.91750602506443701</v>
      </c>
      <c r="H48" s="129">
        <f t="shared" si="1"/>
        <v>0.96333063326389778</v>
      </c>
      <c r="I48" s="129">
        <f t="shared" si="1"/>
        <v>0.97360680835161062</v>
      </c>
      <c r="J48" s="129">
        <f t="shared" si="1"/>
        <v>0.93264183380057886</v>
      </c>
      <c r="K48" s="240">
        <f t="shared" si="1"/>
        <v>0.83147522583661793</v>
      </c>
      <c r="R48" s="130">
        <f t="shared" si="2"/>
        <v>15.9</v>
      </c>
      <c r="S48" s="129">
        <f t="shared" si="3"/>
        <v>0.29510762432219706</v>
      </c>
      <c r="T48" s="129">
        <f t="shared" si="4"/>
        <v>0.29383597954481022</v>
      </c>
      <c r="U48" s="129">
        <f t="shared" si="5"/>
        <v>0.29156382170757889</v>
      </c>
      <c r="V48" s="129">
        <f t="shared" si="6"/>
        <v>0.28754262573985245</v>
      </c>
      <c r="W48" s="129">
        <f t="shared" si="7"/>
        <v>0.28054511151008749</v>
      </c>
      <c r="X48" s="129">
        <f t="shared" si="8"/>
        <v>0.26871854506835047</v>
      </c>
      <c r="Y48" s="129">
        <f t="shared" si="9"/>
        <v>0.2496830363353324</v>
      </c>
      <c r="Z48" s="129">
        <f t="shared" si="10"/>
        <v>0.22132843518551051</v>
      </c>
      <c r="AA48" s="240">
        <f t="shared" si="11"/>
        <v>0.18361744570558647</v>
      </c>
    </row>
    <row r="49" spans="2:27" x14ac:dyDescent="0.2">
      <c r="B49" s="130">
        <f>'RT&amp;Temp'!D46</f>
        <v>17.899999999999999</v>
      </c>
      <c r="C49" s="129">
        <f t="shared" si="12"/>
        <v>0.53663190223998125</v>
      </c>
      <c r="D49" s="129">
        <f t="shared" si="12"/>
        <v>0.61812422725259764</v>
      </c>
      <c r="E49" s="129">
        <f t="shared" si="1"/>
        <v>0.69686830704442959</v>
      </c>
      <c r="F49" s="129">
        <f t="shared" si="1"/>
        <v>0.77032576275167974</v>
      </c>
      <c r="G49" s="129">
        <f t="shared" si="1"/>
        <v>0.83389740050594796</v>
      </c>
      <c r="H49" s="129">
        <f t="shared" si="1"/>
        <v>0.87977105331647476</v>
      </c>
      <c r="I49" s="129">
        <f t="shared" si="1"/>
        <v>0.8961157670293044</v>
      </c>
      <c r="J49" s="129">
        <f t="shared" si="1"/>
        <v>0.86853807931715632</v>
      </c>
      <c r="K49" s="240">
        <f t="shared" si="1"/>
        <v>0.78666779373695939</v>
      </c>
      <c r="R49" s="130">
        <f t="shared" si="2"/>
        <v>17.899999999999999</v>
      </c>
      <c r="S49" s="129">
        <f t="shared" si="3"/>
        <v>0.3001784703154895</v>
      </c>
      <c r="T49" s="129">
        <f t="shared" si="4"/>
        <v>0.29903847750868912</v>
      </c>
      <c r="U49" s="129">
        <f t="shared" si="5"/>
        <v>0.2969986356213164</v>
      </c>
      <c r="V49" s="129">
        <f t="shared" si="6"/>
        <v>0.29337938623946946</v>
      </c>
      <c r="W49" s="129">
        <f t="shared" si="7"/>
        <v>0.28705314363570128</v>
      </c>
      <c r="X49" s="129">
        <f t="shared" si="8"/>
        <v>0.27627897990113853</v>
      </c>
      <c r="Y49" s="129">
        <f t="shared" si="9"/>
        <v>0.25871729402942817</v>
      </c>
      <c r="Z49" s="129">
        <f t="shared" si="10"/>
        <v>0.23204226298174771</v>
      </c>
      <c r="AA49" s="240">
        <f t="shared" si="11"/>
        <v>0.19557435427627184</v>
      </c>
    </row>
    <row r="50" spans="2:27" ht="13.5" thickBot="1" x14ac:dyDescent="0.25">
      <c r="B50" s="241">
        <f>'RT&amp;Temp'!D47</f>
        <v>19.899999999999999</v>
      </c>
      <c r="C50" s="242">
        <f t="shared" si="12"/>
        <v>0.4891172419954693</v>
      </c>
      <c r="D50" s="242">
        <f t="shared" si="12"/>
        <v>0.56362188623971865</v>
      </c>
      <c r="E50" s="242">
        <f t="shared" si="1"/>
        <v>0.63588294887155372</v>
      </c>
      <c r="F50" s="242">
        <f t="shared" si="1"/>
        <v>0.70381618946074853</v>
      </c>
      <c r="G50" s="242">
        <f t="shared" si="1"/>
        <v>0.76361625668406641</v>
      </c>
      <c r="H50" s="242">
        <f t="shared" si="1"/>
        <v>0.80872791826025814</v>
      </c>
      <c r="I50" s="242">
        <f t="shared" si="1"/>
        <v>0.82895920761735598</v>
      </c>
      <c r="J50" s="242">
        <f t="shared" si="1"/>
        <v>0.81123631902312932</v>
      </c>
      <c r="K50" s="243">
        <f t="shared" si="1"/>
        <v>0.74463525569636935</v>
      </c>
      <c r="R50" s="241">
        <f t="shared" si="2"/>
        <v>19.899999999999999</v>
      </c>
      <c r="S50" s="242">
        <f t="shared" si="3"/>
        <v>0.30416978486593244</v>
      </c>
      <c r="T50" s="242">
        <f t="shared" si="4"/>
        <v>0.30313717665325407</v>
      </c>
      <c r="U50" s="242">
        <f t="shared" si="5"/>
        <v>0.30128739720342662</v>
      </c>
      <c r="V50" s="242">
        <f t="shared" si="6"/>
        <v>0.29799876958018928</v>
      </c>
      <c r="W50" s="242">
        <f t="shared" si="7"/>
        <v>0.29223006746178692</v>
      </c>
      <c r="X50" s="242">
        <f t="shared" si="8"/>
        <v>0.28234536093647611</v>
      </c>
      <c r="Y50" s="242">
        <f t="shared" si="9"/>
        <v>0.26606916502557065</v>
      </c>
      <c r="Z50" s="242">
        <f t="shared" si="10"/>
        <v>0.24094929475463095</v>
      </c>
      <c r="AA50" s="243">
        <f t="shared" si="11"/>
        <v>0.20580891094941317</v>
      </c>
    </row>
    <row r="51" spans="2:27" x14ac:dyDescent="0.2">
      <c r="B51" s="17"/>
    </row>
    <row r="52" spans="2:27" ht="15" thickBot="1" x14ac:dyDescent="0.25">
      <c r="I52" s="59" t="s">
        <v>228</v>
      </c>
      <c r="L52" t="s">
        <v>239</v>
      </c>
      <c r="O52" t="s">
        <v>226</v>
      </c>
    </row>
    <row r="53" spans="2:27" ht="13.5" thickBot="1" x14ac:dyDescent="0.25">
      <c r="J53" s="132" t="str">
        <f t="shared" ref="J53:S53" si="13">B41</f>
        <v>RT v VS -&gt;</v>
      </c>
      <c r="K53" s="124">
        <f t="shared" si="13"/>
        <v>32</v>
      </c>
      <c r="L53" s="125">
        <f t="shared" si="13"/>
        <v>37</v>
      </c>
      <c r="M53" s="125">
        <f t="shared" si="13"/>
        <v>42</v>
      </c>
      <c r="N53" s="125">
        <f t="shared" si="13"/>
        <v>47</v>
      </c>
      <c r="O53" s="126">
        <f t="shared" si="13"/>
        <v>52</v>
      </c>
      <c r="P53" s="125">
        <f t="shared" si="13"/>
        <v>57</v>
      </c>
      <c r="Q53" s="125">
        <f t="shared" si="13"/>
        <v>62</v>
      </c>
      <c r="R53" s="125">
        <f t="shared" si="13"/>
        <v>67</v>
      </c>
      <c r="S53" s="127">
        <f t="shared" si="13"/>
        <v>72</v>
      </c>
    </row>
    <row r="54" spans="2:27" x14ac:dyDescent="0.2">
      <c r="J54" s="128">
        <f t="shared" ref="J54:J62" si="14">B42</f>
        <v>3.9000000000000004</v>
      </c>
      <c r="K54" s="133">
        <f t="shared" ref="K54:K62" si="15">IF($B42&lt;1/(0.566*(1+1110*EXP(-1*0.187*$C$3))^(1/(1-2.83))),"",C42*$B42)</f>
        <v>3.5827395118641006</v>
      </c>
      <c r="L54" s="133">
        <f t="shared" ref="L54:L62" si="16">IF($B42&lt;1/(0.566*(1+1110*EXP(-1*0.187*$C$3))^(1/(1-2.83))),"",D42*$B42)</f>
        <v>4.0496124040476911</v>
      </c>
      <c r="M54" s="133">
        <f t="shared" ref="M54:M62" si="17">IF($B42&lt;1/(0.566*(1+1110*EXP(-1*0.187*$C$3))^(1/(1-2.83))),"",E42*$B42)</f>
        <v>4.4176322647578816</v>
      </c>
      <c r="N54" s="133">
        <f t="shared" ref="N54:N62" si="18">IF($B42&lt;1/(0.566*(1+1110*EXP(-1*0.187*$C$3))^(1/(1-2.83))),"",F42*$B42)</f>
        <v>4.6179260489475116</v>
      </c>
      <c r="O54" s="133">
        <f t="shared" ref="O54:O62" si="19">IF($B42&lt;1/(0.566*(1+1110*EXP(-1*0.187*$C$3))^(1/(1-2.83))),"",G42*$B42)</f>
        <v>4.5653671993690681</v>
      </c>
      <c r="P54" s="133">
        <f t="shared" ref="P54:P62" si="20">IF($B42&lt;1/(0.566*(1+1110*EXP(-1*0.187*$C$3))^(1/(1-2.83))),"",H42*$B42)</f>
        <v>4.1965194447656913</v>
      </c>
      <c r="Q54" s="133">
        <f t="shared" ref="Q54:Q62" si="21">IF($B42&lt;1/(0.566*(1+1110*EXP(-1*0.187*$C$3))^(1/(1-2.83))),"",I42*$B42)</f>
        <v>3.5331705468018728</v>
      </c>
      <c r="R54" s="133">
        <f t="shared" ref="R54:R62" si="22">IF($B42&lt;1/(0.566*(1+1110*EXP(-1*0.187*$C$3))^(1/(1-2.83))),"",J42*$B42)</f>
        <v>2.7104406468120352</v>
      </c>
      <c r="S54" s="134">
        <f t="shared" ref="S54:S62" si="23">IF($B42&lt;1/(0.566*(1+1110*EXP(-1*0.187*$C$3))^(1/(1-2.83))),"",K42*$B42)</f>
        <v>1.9103990133674436</v>
      </c>
    </row>
    <row r="55" spans="2:27" x14ac:dyDescent="0.2">
      <c r="J55" s="130">
        <f t="shared" si="14"/>
        <v>5.9</v>
      </c>
      <c r="K55" s="133">
        <f t="shared" si="15"/>
        <v>6.599137889177455</v>
      </c>
      <c r="L55" s="133">
        <f t="shared" si="16"/>
        <v>7.5296239307468023</v>
      </c>
      <c r="M55" s="133">
        <f t="shared" si="17"/>
        <v>8.3480325824819417</v>
      </c>
      <c r="N55" s="133">
        <f t="shared" si="18"/>
        <v>8.964188140696665</v>
      </c>
      <c r="O55" s="133">
        <f t="shared" si="19"/>
        <v>9.2421205156363637</v>
      </c>
      <c r="P55" s="133">
        <f t="shared" si="20"/>
        <v>9.0194622138425604</v>
      </c>
      <c r="Q55" s="133">
        <f t="shared" si="21"/>
        <v>8.1865283864576011</v>
      </c>
      <c r="R55" s="133">
        <f t="shared" si="22"/>
        <v>6.8083682656362763</v>
      </c>
      <c r="S55" s="134">
        <f t="shared" si="23"/>
        <v>5.1644533191371318</v>
      </c>
    </row>
    <row r="56" spans="2:27" x14ac:dyDescent="0.2">
      <c r="J56" s="130">
        <f t="shared" si="14"/>
        <v>7.9</v>
      </c>
      <c r="K56" s="133">
        <f t="shared" si="15"/>
        <v>7.8383257690864303</v>
      </c>
      <c r="L56" s="133">
        <f t="shared" si="16"/>
        <v>8.9784210555170549</v>
      </c>
      <c r="M56" s="133">
        <f t="shared" si="17"/>
        <v>10.022439691849604</v>
      </c>
      <c r="N56" s="133">
        <f t="shared" si="18"/>
        <v>10.888510332557711</v>
      </c>
      <c r="O56" s="133">
        <f t="shared" si="19"/>
        <v>11.443331117739053</v>
      </c>
      <c r="P56" s="133">
        <f t="shared" si="20"/>
        <v>11.501568114962163</v>
      </c>
      <c r="Q56" s="133">
        <f t="shared" si="21"/>
        <v>10.876365862380426</v>
      </c>
      <c r="R56" s="133">
        <f t="shared" si="22"/>
        <v>9.5075609014075599</v>
      </c>
      <c r="S56" s="134">
        <f t="shared" si="23"/>
        <v>7.5930660860526293</v>
      </c>
    </row>
    <row r="57" spans="2:27" x14ac:dyDescent="0.2">
      <c r="J57" s="130">
        <f t="shared" si="14"/>
        <v>9.9</v>
      </c>
      <c r="K57" s="133">
        <f t="shared" si="15"/>
        <v>8.5135454893351756</v>
      </c>
      <c r="L57" s="133">
        <f t="shared" si="16"/>
        <v>9.7726213909292614</v>
      </c>
      <c r="M57" s="133">
        <f t="shared" si="17"/>
        <v>10.950078383262321</v>
      </c>
      <c r="N57" s="133">
        <f t="shared" si="18"/>
        <v>11.974178917417602</v>
      </c>
      <c r="O57" s="133">
        <f t="shared" si="19"/>
        <v>12.723218169881612</v>
      </c>
      <c r="P57" s="133">
        <f t="shared" si="20"/>
        <v>13.014233862774647</v>
      </c>
      <c r="Q57" s="133">
        <f t="shared" si="21"/>
        <v>12.628946897722141</v>
      </c>
      <c r="R57" s="133">
        <f t="shared" si="22"/>
        <v>11.4197568903588</v>
      </c>
      <c r="S57" s="134">
        <f t="shared" si="23"/>
        <v>9.4749646917522057</v>
      </c>
    </row>
    <row r="58" spans="2:27" x14ac:dyDescent="0.2">
      <c r="I58" t="s">
        <v>226</v>
      </c>
      <c r="J58" s="131">
        <f t="shared" si="14"/>
        <v>11.9</v>
      </c>
      <c r="K58" s="133">
        <f t="shared" si="15"/>
        <v>8.9384303144677268</v>
      </c>
      <c r="L58" s="133">
        <f t="shared" si="16"/>
        <v>10.274111686833507</v>
      </c>
      <c r="M58" s="133">
        <f t="shared" si="17"/>
        <v>11.539434910953453</v>
      </c>
      <c r="N58" s="133">
        <f t="shared" si="18"/>
        <v>12.671350813352413</v>
      </c>
      <c r="O58" s="135">
        <f t="shared" si="19"/>
        <v>13.560112502846438</v>
      </c>
      <c r="P58" s="133">
        <f t="shared" si="20"/>
        <v>14.032620901472407</v>
      </c>
      <c r="Q58" s="133">
        <f t="shared" si="21"/>
        <v>13.861459640100072</v>
      </c>
      <c r="R58" s="133">
        <f t="shared" si="22"/>
        <v>12.845356626651883</v>
      </c>
      <c r="S58" s="134">
        <f t="shared" si="23"/>
        <v>10.976081617503914</v>
      </c>
    </row>
    <row r="59" spans="2:27" x14ac:dyDescent="0.2">
      <c r="J59" s="130">
        <f t="shared" si="14"/>
        <v>13.9</v>
      </c>
      <c r="K59" s="133">
        <f t="shared" si="15"/>
        <v>9.2304250803712335</v>
      </c>
      <c r="L59" s="133">
        <f t="shared" si="16"/>
        <v>10.619533290426647</v>
      </c>
      <c r="M59" s="133">
        <f t="shared" si="17"/>
        <v>11.947014926851566</v>
      </c>
      <c r="N59" s="133">
        <f t="shared" si="18"/>
        <v>13.156908215426531</v>
      </c>
      <c r="O59" s="133">
        <f t="shared" si="19"/>
        <v>14.150075843149654</v>
      </c>
      <c r="P59" s="133">
        <f t="shared" si="20"/>
        <v>14.764972270544682</v>
      </c>
      <c r="Q59" s="133">
        <f t="shared" si="21"/>
        <v>14.775485866141683</v>
      </c>
      <c r="R59" s="133">
        <f t="shared" si="22"/>
        <v>13.949131550456231</v>
      </c>
      <c r="S59" s="134">
        <f t="shared" si="23"/>
        <v>12.201369398837945</v>
      </c>
    </row>
    <row r="60" spans="2:27" x14ac:dyDescent="0.2">
      <c r="J60" s="130">
        <f t="shared" si="14"/>
        <v>15.9</v>
      </c>
      <c r="K60" s="133">
        <f t="shared" si="15"/>
        <v>9.4434439783103059</v>
      </c>
      <c r="L60" s="133">
        <f t="shared" si="16"/>
        <v>10.871931243157977</v>
      </c>
      <c r="M60" s="133">
        <f t="shared" si="17"/>
        <v>12.245680511718314</v>
      </c>
      <c r="N60" s="133">
        <f t="shared" si="18"/>
        <v>13.514503409773067</v>
      </c>
      <c r="O60" s="133">
        <f t="shared" si="19"/>
        <v>14.588345798524548</v>
      </c>
      <c r="P60" s="133">
        <f t="shared" si="20"/>
        <v>15.316957068895976</v>
      </c>
      <c r="Q60" s="133">
        <f t="shared" si="21"/>
        <v>15.480348252790609</v>
      </c>
      <c r="R60" s="133">
        <f t="shared" si="22"/>
        <v>14.829005157429204</v>
      </c>
      <c r="S60" s="134">
        <f t="shared" si="23"/>
        <v>13.220456090802225</v>
      </c>
    </row>
    <row r="61" spans="2:27" x14ac:dyDescent="0.2">
      <c r="J61" s="130">
        <f t="shared" si="14"/>
        <v>17.899999999999999</v>
      </c>
      <c r="K61" s="133">
        <f t="shared" si="15"/>
        <v>9.6057110500956639</v>
      </c>
      <c r="L61" s="133">
        <f t="shared" si="16"/>
        <v>11.064423667821497</v>
      </c>
      <c r="M61" s="133">
        <f t="shared" si="17"/>
        <v>12.473942696095289</v>
      </c>
      <c r="N61" s="133">
        <f t="shared" si="18"/>
        <v>13.788831153255066</v>
      </c>
      <c r="O61" s="133">
        <f t="shared" si="19"/>
        <v>14.926763469056468</v>
      </c>
      <c r="P61" s="133">
        <f t="shared" si="20"/>
        <v>15.747901854364898</v>
      </c>
      <c r="Q61" s="133">
        <f t="shared" si="21"/>
        <v>16.040472229824548</v>
      </c>
      <c r="R61" s="133">
        <f t="shared" si="22"/>
        <v>15.546831619777096</v>
      </c>
      <c r="S61" s="134">
        <f t="shared" si="23"/>
        <v>14.081353507891572</v>
      </c>
    </row>
    <row r="62" spans="2:27" ht="13.5" thickBot="1" x14ac:dyDescent="0.25">
      <c r="J62" s="241">
        <f t="shared" si="14"/>
        <v>19.899999999999999</v>
      </c>
      <c r="K62" s="136">
        <f t="shared" si="15"/>
        <v>9.7334331157098379</v>
      </c>
      <c r="L62" s="136">
        <f t="shared" si="16"/>
        <v>11.216075536170401</v>
      </c>
      <c r="M62" s="136">
        <f t="shared" si="17"/>
        <v>12.654070682543917</v>
      </c>
      <c r="N62" s="136">
        <f t="shared" si="18"/>
        <v>14.005942170268895</v>
      </c>
      <c r="O62" s="136">
        <f t="shared" si="19"/>
        <v>15.19596350801292</v>
      </c>
      <c r="P62" s="136">
        <f t="shared" si="20"/>
        <v>16.093685573379137</v>
      </c>
      <c r="Q62" s="136">
        <f t="shared" si="21"/>
        <v>16.496288231585382</v>
      </c>
      <c r="R62" s="136">
        <f t="shared" si="22"/>
        <v>16.143602748560273</v>
      </c>
      <c r="S62" s="137">
        <f t="shared" si="23"/>
        <v>14.818241588357749</v>
      </c>
    </row>
  </sheetData>
  <mergeCells count="5">
    <mergeCell ref="Z3:AA3"/>
    <mergeCell ref="E3:F3"/>
    <mergeCell ref="G3:H3"/>
    <mergeCell ref="I3:J3"/>
    <mergeCell ref="K34:L34"/>
  </mergeCells>
  <phoneticPr fontId="0" type="noConversion"/>
  <hyperlinks>
    <hyperlink ref="E3" location="'Temp&amp;RT'!A1" display="Change Temperature"/>
    <hyperlink ref="I3:J3" location="Calculator!B39" display="Change RT"/>
    <hyperlink ref="G3:H3" location="Calculator!B37" display="Change VS"/>
    <hyperlink ref="K34:L34" location="Calculator!C4" display="Change Waste"/>
  </hyperlinks>
  <pageMargins left="0.19685039370078741" right="0.19685039370078741" top="0.98425196850393704" bottom="0.98425196850393704" header="0.51181102362204722" footer="0.51181102362204722"/>
  <pageSetup paperSize="9" scale="83" fitToHeight="2" orientation="landscape" r:id="rId1"/>
  <headerFooter alignWithMargins="0">
    <oddHeader>&amp;L&amp;F&amp;C&amp;A&amp;R&amp;D &amp;T</oddHeader>
    <oddFooter>&amp;CPage &amp;P of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L62"/>
  <sheetViews>
    <sheetView topLeftCell="A4" zoomScale="80" zoomScaleNormal="80" workbookViewId="0">
      <selection activeCell="E3" sqref="E3:F3"/>
    </sheetView>
  </sheetViews>
  <sheetFormatPr defaultRowHeight="12.75" x14ac:dyDescent="0.2"/>
  <cols>
    <col min="1" max="1" width="11.28515625" bestFit="1" customWidth="1"/>
  </cols>
  <sheetData>
    <row r="1" spans="1:10" ht="18" x14ac:dyDescent="0.25">
      <c r="A1" s="15" t="s">
        <v>249</v>
      </c>
      <c r="I1" s="211" t="s">
        <v>270</v>
      </c>
    </row>
    <row r="2" spans="1:10" ht="13.5" thickBot="1" x14ac:dyDescent="0.25">
      <c r="A2" t="s">
        <v>24</v>
      </c>
      <c r="J2" t="s">
        <v>25</v>
      </c>
    </row>
    <row r="3" spans="1:10" ht="15" thickBot="1" x14ac:dyDescent="0.25">
      <c r="A3" s="59"/>
      <c r="B3" s="121" t="s">
        <v>246</v>
      </c>
      <c r="C3" s="186">
        <f>'Temp&amp;RT'!B43</f>
        <v>52</v>
      </c>
      <c r="D3" s="59" t="s">
        <v>247</v>
      </c>
      <c r="E3" s="282" t="s">
        <v>230</v>
      </c>
      <c r="F3" s="284"/>
      <c r="G3" s="282" t="s">
        <v>231</v>
      </c>
      <c r="H3" s="284"/>
      <c r="I3" s="282" t="s">
        <v>232</v>
      </c>
      <c r="J3" s="284"/>
    </row>
    <row r="16" spans="1:10" x14ac:dyDescent="0.2">
      <c r="A16" s="17"/>
    </row>
    <row r="17" spans="1:1" x14ac:dyDescent="0.2">
      <c r="A17" s="17"/>
    </row>
    <row r="18" spans="1:1" x14ac:dyDescent="0.2">
      <c r="A18" s="17"/>
    </row>
    <row r="33" spans="1:12" ht="13.5" thickBot="1" x14ac:dyDescent="0.25">
      <c r="F33" s="60"/>
      <c r="G33" s="60"/>
      <c r="H33" s="60"/>
      <c r="I33" s="60"/>
      <c r="J33" s="60"/>
      <c r="K33" s="60"/>
    </row>
    <row r="34" spans="1:12" ht="13.5" thickBot="1" x14ac:dyDescent="0.25">
      <c r="G34" s="121" t="s">
        <v>22</v>
      </c>
      <c r="H34" s="186">
        <f>Calculator!$U$20</f>
        <v>0.337675</v>
      </c>
      <c r="I34" s="186" t="s">
        <v>23</v>
      </c>
      <c r="J34" s="59" t="str">
        <f>VLOOKUP(Calculator!$T$20,Calculator!$S$22:$T$36,2)</f>
        <v>Municipal Refuse</v>
      </c>
      <c r="K34" s="282" t="s">
        <v>235</v>
      </c>
      <c r="L34" s="284"/>
    </row>
    <row r="35" spans="1:12" x14ac:dyDescent="0.2">
      <c r="F35" s="60"/>
      <c r="G35" s="60"/>
      <c r="H35" s="60"/>
      <c r="I35" s="60"/>
      <c r="J35" s="60"/>
      <c r="K35" s="60"/>
    </row>
    <row r="40" spans="1:12" ht="15" thickBot="1" x14ac:dyDescent="0.25">
      <c r="A40" s="59" t="s">
        <v>225</v>
      </c>
      <c r="D40" s="17" t="s">
        <v>238</v>
      </c>
      <c r="G40" t="s">
        <v>226</v>
      </c>
    </row>
    <row r="41" spans="1:12" ht="13.5" thickBot="1" x14ac:dyDescent="0.25">
      <c r="B41" s="123" t="s">
        <v>245</v>
      </c>
      <c r="C41" s="138">
        <f>'Temp&amp;RT'!$C$39</f>
        <v>15</v>
      </c>
      <c r="D41" s="138">
        <f>'Temp&amp;RT'!C40</f>
        <v>20</v>
      </c>
      <c r="E41" s="138">
        <f>'Temp&amp;RT'!C41</f>
        <v>25</v>
      </c>
      <c r="F41" s="138">
        <f>'Temp&amp;RT'!C42</f>
        <v>30</v>
      </c>
      <c r="G41" s="139">
        <f>'Temp&amp;RT'!C43</f>
        <v>35</v>
      </c>
      <c r="H41" s="138">
        <f>'Temp&amp;RT'!C44</f>
        <v>40</v>
      </c>
      <c r="I41" s="138">
        <f>'Temp&amp;RT'!C45</f>
        <v>45</v>
      </c>
      <c r="J41" s="138">
        <f>'Temp&amp;RT'!C46</f>
        <v>50</v>
      </c>
      <c r="K41" s="138">
        <f>'Temp&amp;RT'!C47</f>
        <v>55</v>
      </c>
    </row>
    <row r="42" spans="1:12" x14ac:dyDescent="0.2">
      <c r="B42" s="130">
        <f>'RT&amp;Temp'!D39</f>
        <v>3.9000000000000004</v>
      </c>
      <c r="C42" s="129" t="str">
        <f>IF($B42&lt;1/(0.566*(1+1110*EXP(-1*0.187*C$41))^(1/(1-2.83))),"",$H$34*$C$3/$B42*(1-(0.6+0.0006*EXP(0.1185*$C$3))/(IF(C$41&lt;5,0,IF(C$41&gt;60,NA(),0.566*(1+1110*EXP(-1*0.187*C$41))^(1/(1-2.83))))*$B42-1+(0.6+0.0006*EXP(0.1185*$C$3)))))</f>
        <v/>
      </c>
      <c r="D42" s="129" t="str">
        <f t="shared" ref="D42:K50" si="0">IF($B42&lt;1/(0.566*(1+1110*EXP(-1*0.187*D$41))^(1/(1-2.83))),"",$H$34*$C$3/$B42*(1-(0.6+0.0006*EXP(0.1185*$C$3))/(IF(D$41&lt;5,0,IF(D$41&gt;60,NA(),0.566*(1+1110*EXP(-1*0.187*D$41))^(1/(1-2.83))))*$B42-1+(0.6+0.0006*EXP(0.1185*$C$3)))))</f>
        <v/>
      </c>
      <c r="E42" s="129" t="str">
        <f t="shared" si="0"/>
        <v/>
      </c>
      <c r="F42" s="129" t="str">
        <f t="shared" si="0"/>
        <v/>
      </c>
      <c r="G42" s="129">
        <f t="shared" si="0"/>
        <v>1.1706069741971969</v>
      </c>
      <c r="H42" s="129">
        <f t="shared" si="0"/>
        <v>1.9765450216224651</v>
      </c>
      <c r="I42" s="129">
        <f t="shared" si="0"/>
        <v>2.340250366579451</v>
      </c>
      <c r="J42" s="129">
        <f t="shared" si="0"/>
        <v>2.4944505264203078</v>
      </c>
      <c r="K42" s="129">
        <f t="shared" si="0"/>
        <v>2.5571986644722302</v>
      </c>
    </row>
    <row r="43" spans="1:12" x14ac:dyDescent="0.2">
      <c r="B43" s="130">
        <f>'RT&amp;Temp'!D40</f>
        <v>5.9</v>
      </c>
      <c r="C43" s="129" t="str">
        <f t="shared" ref="C43:C50" si="1">IF($B43&lt;1/(0.566*(1+1110*EXP(-1*0.187*C$41))^(1/(1-2.83))),"",$H$34*$C$3/$B43*(1-(0.6+0.0006*EXP(0.1185*$C$3))/(IF(C$41&lt;5,0,IF(C$41&gt;60,NA(),0.566*(1+1110*EXP(-1*0.187*C$41))^(1/(1-2.83))))*$B43-1+(0.6+0.0006*EXP(0.1185*$C$3)))))</f>
        <v/>
      </c>
      <c r="D43" s="129" t="str">
        <f t="shared" si="0"/>
        <v/>
      </c>
      <c r="E43" s="129" t="str">
        <f t="shared" si="0"/>
        <v/>
      </c>
      <c r="F43" s="129">
        <f t="shared" si="0"/>
        <v>0.88814723786342309</v>
      </c>
      <c r="G43" s="129">
        <f t="shared" si="0"/>
        <v>1.5664611043451464</v>
      </c>
      <c r="H43" s="129">
        <f t="shared" si="0"/>
        <v>1.8992018364054102</v>
      </c>
      <c r="I43" s="129">
        <f t="shared" si="0"/>
        <v>2.0510505284989193</v>
      </c>
      <c r="J43" s="129">
        <f t="shared" si="0"/>
        <v>2.1157508965021137</v>
      </c>
      <c r="K43" s="129">
        <f t="shared" si="0"/>
        <v>2.142134230355432</v>
      </c>
    </row>
    <row r="44" spans="1:12" x14ac:dyDescent="0.2">
      <c r="B44" s="130">
        <f>'RT&amp;Temp'!D41</f>
        <v>7.9</v>
      </c>
      <c r="C44" s="129" t="str">
        <f t="shared" si="1"/>
        <v/>
      </c>
      <c r="D44" s="129" t="str">
        <f t="shared" si="0"/>
        <v/>
      </c>
      <c r="E44" s="129">
        <f t="shared" si="0"/>
        <v>0.3853508534546593</v>
      </c>
      <c r="F44" s="129">
        <f t="shared" si="0"/>
        <v>1.0844440483229227</v>
      </c>
      <c r="G44" s="129">
        <f t="shared" si="0"/>
        <v>1.4485229262960826</v>
      </c>
      <c r="H44" s="129">
        <f t="shared" si="0"/>
        <v>1.6290981851120141</v>
      </c>
      <c r="I44" s="129">
        <f t="shared" si="0"/>
        <v>1.7119435754329704</v>
      </c>
      <c r="J44" s="129">
        <f t="shared" si="0"/>
        <v>1.747326712368424</v>
      </c>
      <c r="K44" s="129">
        <f t="shared" si="0"/>
        <v>1.7617695948130345</v>
      </c>
    </row>
    <row r="45" spans="1:12" x14ac:dyDescent="0.2">
      <c r="B45" s="130">
        <f>'RT&amp;Temp'!D42</f>
        <v>9.9</v>
      </c>
      <c r="C45" s="129" t="str">
        <f t="shared" si="1"/>
        <v/>
      </c>
      <c r="D45" s="129" t="str">
        <f t="shared" si="0"/>
        <v/>
      </c>
      <c r="E45" s="129">
        <f t="shared" si="0"/>
        <v>0.62863120818870899</v>
      </c>
      <c r="F45" s="129">
        <f t="shared" si="0"/>
        <v>1.0585049470294969</v>
      </c>
      <c r="G45" s="129">
        <f t="shared" si="0"/>
        <v>1.2851735525132941</v>
      </c>
      <c r="H45" s="129">
        <f t="shared" si="0"/>
        <v>1.3983170594580481</v>
      </c>
      <c r="I45" s="129">
        <f t="shared" si="0"/>
        <v>1.4503868257125958</v>
      </c>
      <c r="J45" s="129">
        <f t="shared" si="0"/>
        <v>1.4726567347658004</v>
      </c>
      <c r="K45" s="129">
        <f t="shared" si="0"/>
        <v>1.4817523280322631</v>
      </c>
    </row>
    <row r="46" spans="1:12" x14ac:dyDescent="0.2">
      <c r="A46" t="s">
        <v>226</v>
      </c>
      <c r="B46" s="131">
        <f>'RT&amp;Temp'!D43</f>
        <v>11.9</v>
      </c>
      <c r="C46" s="129" t="str">
        <f t="shared" si="1"/>
        <v/>
      </c>
      <c r="D46" s="129">
        <f t="shared" si="0"/>
        <v>0.15530404884023205</v>
      </c>
      <c r="E46" s="129">
        <f t="shared" si="0"/>
        <v>0.6941333116099313</v>
      </c>
      <c r="F46" s="129">
        <f t="shared" si="0"/>
        <v>0.98493265563198262</v>
      </c>
      <c r="G46" s="167">
        <f t="shared" si="0"/>
        <v>1.1395052523400369</v>
      </c>
      <c r="H46" s="129">
        <f t="shared" si="0"/>
        <v>1.2169839678869943</v>
      </c>
      <c r="I46" s="129">
        <f t="shared" si="0"/>
        <v>1.2527129560824137</v>
      </c>
      <c r="J46" s="129">
        <f t="shared" si="0"/>
        <v>1.2680080050222777</v>
      </c>
      <c r="K46" s="129">
        <f t="shared" si="0"/>
        <v>1.2742573020559047</v>
      </c>
    </row>
    <row r="47" spans="1:12" x14ac:dyDescent="0.2">
      <c r="B47" s="130">
        <f>'RT&amp;Temp'!D44</f>
        <v>13.9</v>
      </c>
      <c r="C47" s="129" t="str">
        <f t="shared" si="1"/>
        <v/>
      </c>
      <c r="D47" s="129">
        <f t="shared" si="0"/>
        <v>0.31156851233945454</v>
      </c>
      <c r="E47" s="129">
        <f t="shared" si="0"/>
        <v>0.69615080993394407</v>
      </c>
      <c r="F47" s="129">
        <f t="shared" si="0"/>
        <v>0.90588134237989792</v>
      </c>
      <c r="G47" s="129">
        <f t="shared" si="0"/>
        <v>1.017991067852493</v>
      </c>
      <c r="H47" s="129">
        <f t="shared" si="0"/>
        <v>1.0743507842765296</v>
      </c>
      <c r="I47" s="129">
        <f t="shared" si="0"/>
        <v>1.1003781469996294</v>
      </c>
      <c r="J47" s="129">
        <f t="shared" si="0"/>
        <v>1.1115272853166376</v>
      </c>
      <c r="K47" s="129">
        <f t="shared" si="0"/>
        <v>1.1160838786939438</v>
      </c>
    </row>
    <row r="48" spans="1:12" x14ac:dyDescent="0.2">
      <c r="B48" s="130">
        <f>'RT&amp;Temp'!D45</f>
        <v>15.9</v>
      </c>
      <c r="C48" s="129" t="str">
        <f t="shared" si="1"/>
        <v/>
      </c>
      <c r="D48" s="129">
        <f t="shared" si="0"/>
        <v>0.38590683800717246</v>
      </c>
      <c r="E48" s="129">
        <f t="shared" si="0"/>
        <v>0.67411307796757725</v>
      </c>
      <c r="F48" s="129">
        <f t="shared" si="0"/>
        <v>0.83249275222497021</v>
      </c>
      <c r="G48" s="129">
        <f t="shared" si="0"/>
        <v>0.91750602506443701</v>
      </c>
      <c r="H48" s="129">
        <f t="shared" si="0"/>
        <v>0.96033710825428642</v>
      </c>
      <c r="I48" s="129">
        <f t="shared" si="0"/>
        <v>0.98013795940352677</v>
      </c>
      <c r="J48" s="129">
        <f t="shared" si="0"/>
        <v>0.98862398253108641</v>
      </c>
      <c r="K48" s="129">
        <f t="shared" si="0"/>
        <v>0.99209288096916448</v>
      </c>
    </row>
    <row r="49" spans="1:11" x14ac:dyDescent="0.2">
      <c r="B49" s="130">
        <f>'RT&amp;Temp'!D46</f>
        <v>17.899999999999999</v>
      </c>
      <c r="C49" s="129">
        <f t="shared" si="1"/>
        <v>9.4775140653172423E-3</v>
      </c>
      <c r="D49" s="129">
        <f t="shared" si="0"/>
        <v>0.41941572158452678</v>
      </c>
      <c r="E49" s="129">
        <f t="shared" si="0"/>
        <v>0.64340913930885002</v>
      </c>
      <c r="F49" s="129">
        <f t="shared" si="0"/>
        <v>0.76722433811413004</v>
      </c>
      <c r="G49" s="129">
        <f t="shared" si="0"/>
        <v>0.83389740050594796</v>
      </c>
      <c r="H49" s="129">
        <f t="shared" si="0"/>
        <v>0.86754494345939293</v>
      </c>
      <c r="I49" s="129">
        <f t="shared" si="0"/>
        <v>0.88311306975742976</v>
      </c>
      <c r="J49" s="129">
        <f t="shared" si="0"/>
        <v>0.88978756647833002</v>
      </c>
      <c r="K49" s="129">
        <f t="shared" si="0"/>
        <v>0.89251638278074519</v>
      </c>
    </row>
    <row r="50" spans="1:11" x14ac:dyDescent="0.2">
      <c r="B50" s="130">
        <f>'RT&amp;Temp'!D47</f>
        <v>19.899999999999999</v>
      </c>
      <c r="C50" s="129">
        <f t="shared" si="1"/>
        <v>0.10642091630739685</v>
      </c>
      <c r="D50" s="129">
        <f t="shared" si="0"/>
        <v>0.43141125517878665</v>
      </c>
      <c r="E50" s="129">
        <f t="shared" si="0"/>
        <v>0.61048595150953289</v>
      </c>
      <c r="F50" s="129">
        <f t="shared" si="0"/>
        <v>0.70993048340167131</v>
      </c>
      <c r="G50" s="129">
        <f t="shared" si="0"/>
        <v>0.76361625668406641</v>
      </c>
      <c r="H50" s="129">
        <f t="shared" si="0"/>
        <v>0.79074583664408948</v>
      </c>
      <c r="I50" s="129">
        <f t="shared" si="0"/>
        <v>0.8033064601476948</v>
      </c>
      <c r="J50" s="129">
        <f t="shared" si="0"/>
        <v>0.80869315378996975</v>
      </c>
      <c r="K50" s="129">
        <f t="shared" si="0"/>
        <v>0.81089573816645633</v>
      </c>
    </row>
    <row r="51" spans="1:11" x14ac:dyDescent="0.2">
      <c r="B51" s="17"/>
    </row>
    <row r="52" spans="1:11" ht="15" thickBot="1" x14ac:dyDescent="0.25">
      <c r="A52" s="59" t="s">
        <v>228</v>
      </c>
      <c r="C52" t="s">
        <v>239</v>
      </c>
      <c r="G52" t="s">
        <v>226</v>
      </c>
    </row>
    <row r="53" spans="1:11" ht="13.5" thickBot="1" x14ac:dyDescent="0.25">
      <c r="B53" s="132" t="str">
        <f t="shared" ref="B53:K53" si="2">B41</f>
        <v>RT v Temp -&gt;</v>
      </c>
      <c r="C53" s="124">
        <f t="shared" si="2"/>
        <v>15</v>
      </c>
      <c r="D53" s="125">
        <f t="shared" si="2"/>
        <v>20</v>
      </c>
      <c r="E53" s="125">
        <f t="shared" si="2"/>
        <v>25</v>
      </c>
      <c r="F53" s="125">
        <f t="shared" si="2"/>
        <v>30</v>
      </c>
      <c r="G53" s="126">
        <f t="shared" si="2"/>
        <v>35</v>
      </c>
      <c r="H53" s="125">
        <f t="shared" si="2"/>
        <v>40</v>
      </c>
      <c r="I53" s="125">
        <f t="shared" si="2"/>
        <v>45</v>
      </c>
      <c r="J53" s="125">
        <f t="shared" si="2"/>
        <v>50</v>
      </c>
      <c r="K53" s="127">
        <f t="shared" si="2"/>
        <v>55</v>
      </c>
    </row>
    <row r="54" spans="1:11" x14ac:dyDescent="0.2">
      <c r="B54" s="128">
        <f t="shared" ref="B54:B62" si="3">B42</f>
        <v>3.9000000000000004</v>
      </c>
      <c r="C54" s="133" t="str">
        <f t="shared" ref="C54:K54" si="4">IF($B42&lt;1/(0.566*(1+1110*EXP(-1*0.187*C$41))^(1/(1-2.83))),"",C42*$B42)</f>
        <v/>
      </c>
      <c r="D54" s="133" t="str">
        <f t="shared" si="4"/>
        <v/>
      </c>
      <c r="E54" s="133" t="str">
        <f t="shared" si="4"/>
        <v/>
      </c>
      <c r="F54" s="133" t="str">
        <f t="shared" si="4"/>
        <v/>
      </c>
      <c r="G54" s="133">
        <f t="shared" si="4"/>
        <v>4.5653671993690681</v>
      </c>
      <c r="H54" s="133">
        <f t="shared" si="4"/>
        <v>7.7085255843276146</v>
      </c>
      <c r="I54" s="133">
        <f t="shared" si="4"/>
        <v>9.1269764296598588</v>
      </c>
      <c r="J54" s="133">
        <f t="shared" si="4"/>
        <v>9.7283570530392023</v>
      </c>
      <c r="K54" s="133">
        <f t="shared" si="4"/>
        <v>9.9730747914416984</v>
      </c>
    </row>
    <row r="55" spans="1:11" x14ac:dyDescent="0.2">
      <c r="B55" s="130">
        <f t="shared" si="3"/>
        <v>5.9</v>
      </c>
      <c r="C55" s="133" t="str">
        <f t="shared" ref="C55:K55" si="5">IF($B43&lt;1/(0.566*(1+1110*EXP(-1*0.187*C$41))^(1/(1-2.83))),"",C43*$B43)</f>
        <v/>
      </c>
      <c r="D55" s="133" t="str">
        <f t="shared" si="5"/>
        <v/>
      </c>
      <c r="E55" s="133" t="str">
        <f t="shared" si="5"/>
        <v/>
      </c>
      <c r="F55" s="133">
        <f t="shared" si="5"/>
        <v>5.2400687033941962</v>
      </c>
      <c r="G55" s="133">
        <f t="shared" si="5"/>
        <v>9.2421205156363637</v>
      </c>
      <c r="H55" s="133">
        <f t="shared" si="5"/>
        <v>11.205290834791921</v>
      </c>
      <c r="I55" s="133">
        <f t="shared" si="5"/>
        <v>12.101198118143625</v>
      </c>
      <c r="J55" s="133">
        <f t="shared" si="5"/>
        <v>12.482930289362471</v>
      </c>
      <c r="K55" s="133">
        <f t="shared" si="5"/>
        <v>12.638591959097051</v>
      </c>
    </row>
    <row r="56" spans="1:11" x14ac:dyDescent="0.2">
      <c r="B56" s="130">
        <f t="shared" si="3"/>
        <v>7.9</v>
      </c>
      <c r="C56" s="133" t="str">
        <f t="shared" ref="C56:K56" si="6">IF($B44&lt;1/(0.566*(1+1110*EXP(-1*0.187*C$41))^(1/(1-2.83))),"",C44*$B44)</f>
        <v/>
      </c>
      <c r="D56" s="133" t="str">
        <f t="shared" si="6"/>
        <v/>
      </c>
      <c r="E56" s="133">
        <f t="shared" si="6"/>
        <v>3.0442717422918086</v>
      </c>
      <c r="F56" s="133">
        <f t="shared" si="6"/>
        <v>8.5671079817510893</v>
      </c>
      <c r="G56" s="133">
        <f t="shared" si="6"/>
        <v>11.443331117739053</v>
      </c>
      <c r="H56" s="133">
        <f t="shared" si="6"/>
        <v>12.869875662384912</v>
      </c>
      <c r="I56" s="133">
        <f t="shared" si="6"/>
        <v>13.524354245920467</v>
      </c>
      <c r="J56" s="133">
        <f t="shared" si="6"/>
        <v>13.803881027710549</v>
      </c>
      <c r="K56" s="133">
        <f t="shared" si="6"/>
        <v>13.917979799022973</v>
      </c>
    </row>
    <row r="57" spans="1:11" x14ac:dyDescent="0.2">
      <c r="B57" s="130">
        <f t="shared" si="3"/>
        <v>9.9</v>
      </c>
      <c r="C57" s="133" t="str">
        <f t="shared" ref="C57:K57" si="7">IF($B45&lt;1/(0.566*(1+1110*EXP(-1*0.187*C$41))^(1/(1-2.83))),"",C45*$B45)</f>
        <v/>
      </c>
      <c r="D57" s="133" t="str">
        <f t="shared" si="7"/>
        <v/>
      </c>
      <c r="E57" s="133">
        <f t="shared" si="7"/>
        <v>6.2234489610682191</v>
      </c>
      <c r="F57" s="133">
        <f t="shared" si="7"/>
        <v>10.47919897559202</v>
      </c>
      <c r="G57" s="133">
        <f t="shared" si="7"/>
        <v>12.723218169881612</v>
      </c>
      <c r="H57" s="133">
        <f t="shared" si="7"/>
        <v>13.843338888634676</v>
      </c>
      <c r="I57" s="133">
        <f t="shared" si="7"/>
        <v>14.358829574554699</v>
      </c>
      <c r="J57" s="133">
        <f t="shared" si="7"/>
        <v>14.579301674181425</v>
      </c>
      <c r="K57" s="133">
        <f t="shared" si="7"/>
        <v>14.669348047519405</v>
      </c>
    </row>
    <row r="58" spans="1:11" x14ac:dyDescent="0.2">
      <c r="A58" t="s">
        <v>226</v>
      </c>
      <c r="B58" s="131">
        <f t="shared" si="3"/>
        <v>11.9</v>
      </c>
      <c r="C58" s="133" t="str">
        <f t="shared" ref="C58:K58" si="8">IF($B46&lt;1/(0.566*(1+1110*EXP(-1*0.187*C$41))^(1/(1-2.83))),"",C46*$B46)</f>
        <v/>
      </c>
      <c r="D58" s="133">
        <f t="shared" si="8"/>
        <v>1.8481181811987615</v>
      </c>
      <c r="E58" s="133">
        <f t="shared" si="8"/>
        <v>8.2601864081581819</v>
      </c>
      <c r="F58" s="133">
        <f t="shared" si="8"/>
        <v>11.720698602020594</v>
      </c>
      <c r="G58" s="133">
        <f t="shared" si="8"/>
        <v>13.560112502846438</v>
      </c>
      <c r="H58" s="133">
        <f t="shared" si="8"/>
        <v>14.482109217855232</v>
      </c>
      <c r="I58" s="133">
        <f t="shared" si="8"/>
        <v>14.907284177380724</v>
      </c>
      <c r="J58" s="133">
        <f t="shared" si="8"/>
        <v>15.089295259765105</v>
      </c>
      <c r="K58" s="133">
        <f t="shared" si="8"/>
        <v>15.163661894465266</v>
      </c>
    </row>
    <row r="59" spans="1:11" x14ac:dyDescent="0.2">
      <c r="B59" s="130">
        <f t="shared" si="3"/>
        <v>13.9</v>
      </c>
      <c r="C59" s="133" t="str">
        <f t="shared" ref="C59:K59" si="9">IF($B47&lt;1/(0.566*(1+1110*EXP(-1*0.187*C$41))^(1/(1-2.83))),"",C47*$B47)</f>
        <v/>
      </c>
      <c r="D59" s="133">
        <f t="shared" si="9"/>
        <v>4.3308023215184184</v>
      </c>
      <c r="E59" s="133">
        <f t="shared" si="9"/>
        <v>9.6764962580818228</v>
      </c>
      <c r="F59" s="133">
        <f t="shared" si="9"/>
        <v>12.591750659080581</v>
      </c>
      <c r="G59" s="133">
        <f t="shared" si="9"/>
        <v>14.150075843149654</v>
      </c>
      <c r="H59" s="133">
        <f t="shared" si="9"/>
        <v>14.933475901443762</v>
      </c>
      <c r="I59" s="133">
        <f t="shared" si="9"/>
        <v>15.295256243294849</v>
      </c>
      <c r="J59" s="133">
        <f t="shared" si="9"/>
        <v>15.450229265901262</v>
      </c>
      <c r="K59" s="133">
        <f t="shared" si="9"/>
        <v>15.513565913845818</v>
      </c>
    </row>
    <row r="60" spans="1:11" x14ac:dyDescent="0.2">
      <c r="B60" s="130">
        <f t="shared" si="3"/>
        <v>15.9</v>
      </c>
      <c r="C60" s="133" t="str">
        <f t="shared" ref="C60:K60" si="10">IF($B48&lt;1/(0.566*(1+1110*EXP(-1*0.187*C$41))^(1/(1-2.83))),"",C48*$B48)</f>
        <v/>
      </c>
      <c r="D60" s="133">
        <f t="shared" si="10"/>
        <v>6.1359187243140418</v>
      </c>
      <c r="E60" s="133">
        <f t="shared" si="10"/>
        <v>10.718397939684479</v>
      </c>
      <c r="F60" s="133">
        <f t="shared" si="10"/>
        <v>13.236634760377026</v>
      </c>
      <c r="G60" s="133">
        <f t="shared" si="10"/>
        <v>14.588345798524548</v>
      </c>
      <c r="H60" s="133">
        <f t="shared" si="10"/>
        <v>15.269360021243154</v>
      </c>
      <c r="I60" s="133">
        <f t="shared" si="10"/>
        <v>15.584193554516077</v>
      </c>
      <c r="J60" s="133">
        <f t="shared" si="10"/>
        <v>15.719121322244273</v>
      </c>
      <c r="K60" s="133">
        <f t="shared" si="10"/>
        <v>15.774276807409716</v>
      </c>
    </row>
    <row r="61" spans="1:11" x14ac:dyDescent="0.2">
      <c r="B61" s="130">
        <f t="shared" si="3"/>
        <v>17.899999999999999</v>
      </c>
      <c r="C61" s="133">
        <f t="shared" ref="C61:K61" si="11">IF($B49&lt;1/(0.566*(1+1110*EXP(-1*0.187*C$41))^(1/(1-2.83))),"",C49*$B49)</f>
        <v>0.16964750176917862</v>
      </c>
      <c r="D61" s="133">
        <f t="shared" si="11"/>
        <v>7.5075414163630292</v>
      </c>
      <c r="E61" s="133">
        <f t="shared" si="11"/>
        <v>11.517023593628414</v>
      </c>
      <c r="F61" s="133">
        <f t="shared" si="11"/>
        <v>13.733315652242927</v>
      </c>
      <c r="G61" s="133">
        <f t="shared" si="11"/>
        <v>14.926763469056468</v>
      </c>
      <c r="H61" s="133">
        <f t="shared" si="11"/>
        <v>15.529054487923132</v>
      </c>
      <c r="I61" s="133">
        <f t="shared" si="11"/>
        <v>15.807723948657991</v>
      </c>
      <c r="J61" s="133">
        <f t="shared" si="11"/>
        <v>15.927197439962105</v>
      </c>
      <c r="K61" s="133">
        <f t="shared" si="11"/>
        <v>15.976043251775337</v>
      </c>
    </row>
    <row r="62" spans="1:11" x14ac:dyDescent="0.2">
      <c r="B62" s="130">
        <f t="shared" si="3"/>
        <v>19.899999999999999</v>
      </c>
      <c r="C62" s="133">
        <f t="shared" ref="C62:K62" si="12">IF($B50&lt;1/(0.566*(1+1110*EXP(-1*0.187*C$41))^(1/(1-2.83))),"",C50*$B50)</f>
        <v>2.1177762345171973</v>
      </c>
      <c r="D62" s="133">
        <f t="shared" si="12"/>
        <v>8.5850839780578543</v>
      </c>
      <c r="E62" s="133">
        <f t="shared" si="12"/>
        <v>12.148670435039703</v>
      </c>
      <c r="F62" s="133">
        <f t="shared" si="12"/>
        <v>14.127616619693258</v>
      </c>
      <c r="G62" s="133">
        <f t="shared" si="12"/>
        <v>15.19596350801292</v>
      </c>
      <c r="H62" s="133">
        <f t="shared" si="12"/>
        <v>15.73584214921738</v>
      </c>
      <c r="I62" s="133">
        <f t="shared" si="12"/>
        <v>15.985798556939125</v>
      </c>
      <c r="J62" s="133">
        <f t="shared" si="12"/>
        <v>16.092993760420399</v>
      </c>
      <c r="K62" s="133">
        <f t="shared" si="12"/>
        <v>16.136825189512479</v>
      </c>
    </row>
  </sheetData>
  <sheetProtection sheet="1" objects="1" scenarios="1"/>
  <mergeCells count="4">
    <mergeCell ref="E3:F3"/>
    <mergeCell ref="G3:H3"/>
    <mergeCell ref="I3:J3"/>
    <mergeCell ref="K34:L34"/>
  </mergeCells>
  <phoneticPr fontId="0" type="noConversion"/>
  <hyperlinks>
    <hyperlink ref="E3" location="'Temp&amp;RT'!A1" display="Change Temperature"/>
    <hyperlink ref="I3:J3" location="Calculator!B39" display="Change RT"/>
    <hyperlink ref="G3:H3" location="Calculator!B37" display="Change VS"/>
    <hyperlink ref="K34:L34" location="Calculator!C4" display="Change Waste"/>
  </hyperlinks>
  <pageMargins left="0.19685039370078741" right="0.19685039370078741" top="0.98425196850393704" bottom="0.98425196850393704" header="0.51181102362204722" footer="0.51181102362204722"/>
  <pageSetup paperSize="9" scale="83" fitToHeight="2" orientation="landscape" r:id="rId1"/>
  <headerFooter alignWithMargins="0">
    <oddHeader>&amp;L&amp;F&amp;C&amp;A&amp;R&amp;D &amp;T</oddHeader>
    <oddFooter>&amp;CPage &amp;P of &amp;N</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56"/>
  <sheetViews>
    <sheetView topLeftCell="A28" zoomScale="110" zoomScaleNormal="110" workbookViewId="0">
      <selection activeCell="G43" sqref="G43"/>
    </sheetView>
  </sheetViews>
  <sheetFormatPr defaultRowHeight="12.75" x14ac:dyDescent="0.2"/>
  <cols>
    <col min="6" max="6" width="17.5703125" customWidth="1"/>
  </cols>
  <sheetData>
    <row r="1" spans="1:11" ht="13.5" thickBot="1" x14ac:dyDescent="0.25">
      <c r="A1" s="14" t="s">
        <v>12</v>
      </c>
      <c r="D1" s="211" t="s">
        <v>270</v>
      </c>
      <c r="I1" s="282" t="s">
        <v>202</v>
      </c>
      <c r="J1" s="283"/>
      <c r="K1" s="284"/>
    </row>
    <row r="2" spans="1:11" ht="15" thickBot="1" x14ac:dyDescent="0.25">
      <c r="A2" s="1" t="s">
        <v>13</v>
      </c>
      <c r="B2" t="s">
        <v>14</v>
      </c>
      <c r="C2" t="s">
        <v>15</v>
      </c>
      <c r="D2" t="s">
        <v>16</v>
      </c>
      <c r="E2" t="s">
        <v>17</v>
      </c>
      <c r="F2" t="s">
        <v>18</v>
      </c>
      <c r="G2" t="s">
        <v>19</v>
      </c>
    </row>
    <row r="3" spans="1:11" ht="15" customHeight="1" thickBot="1" x14ac:dyDescent="0.25">
      <c r="A3" t="s">
        <v>20</v>
      </c>
      <c r="B3" s="70">
        <f>Calculator!B48</f>
        <v>52</v>
      </c>
      <c r="C3" s="68"/>
      <c r="D3" s="52">
        <v>8</v>
      </c>
      <c r="E3" s="68"/>
      <c r="F3" s="70">
        <f>Calculator!B45</f>
        <v>11.9</v>
      </c>
      <c r="I3" s="282" t="s">
        <v>233</v>
      </c>
      <c r="J3" s="283"/>
      <c r="K3" s="284"/>
    </row>
    <row r="4" spans="1:11" ht="15" customHeight="1" x14ac:dyDescent="0.2">
      <c r="A4" t="s">
        <v>21</v>
      </c>
      <c r="B4" s="52">
        <v>5</v>
      </c>
      <c r="C4" s="52"/>
      <c r="D4" s="52">
        <v>5</v>
      </c>
      <c r="E4" s="52"/>
      <c r="F4" s="52">
        <v>4</v>
      </c>
    </row>
    <row r="6" spans="1:11" x14ac:dyDescent="0.2">
      <c r="A6">
        <v>1</v>
      </c>
      <c r="B6">
        <v>0</v>
      </c>
      <c r="C6">
        <v>0</v>
      </c>
      <c r="D6">
        <v>2</v>
      </c>
      <c r="E6">
        <v>0</v>
      </c>
    </row>
    <row r="7" spans="1:11" x14ac:dyDescent="0.2">
      <c r="A7">
        <v>2</v>
      </c>
      <c r="B7">
        <v>10</v>
      </c>
      <c r="C7">
        <v>5</v>
      </c>
      <c r="D7">
        <v>3</v>
      </c>
      <c r="E7">
        <v>0.5</v>
      </c>
    </row>
    <row r="8" spans="1:11" x14ac:dyDescent="0.2">
      <c r="A8">
        <v>3</v>
      </c>
      <c r="B8">
        <v>20</v>
      </c>
      <c r="C8">
        <v>10</v>
      </c>
      <c r="D8">
        <v>4</v>
      </c>
      <c r="E8">
        <v>1</v>
      </c>
    </row>
    <row r="9" spans="1:11" x14ac:dyDescent="0.2">
      <c r="A9">
        <v>4</v>
      </c>
      <c r="B9">
        <v>30</v>
      </c>
      <c r="C9">
        <v>15</v>
      </c>
      <c r="D9">
        <v>5</v>
      </c>
      <c r="E9">
        <v>2</v>
      </c>
    </row>
    <row r="10" spans="1:11" x14ac:dyDescent="0.2">
      <c r="A10">
        <v>5</v>
      </c>
      <c r="B10">
        <v>40</v>
      </c>
      <c r="C10">
        <v>20</v>
      </c>
      <c r="D10">
        <v>10</v>
      </c>
      <c r="E10">
        <v>5</v>
      </c>
    </row>
    <row r="11" spans="1:11" x14ac:dyDescent="0.2">
      <c r="A11">
        <v>6</v>
      </c>
      <c r="B11">
        <v>50</v>
      </c>
      <c r="C11">
        <v>25</v>
      </c>
      <c r="D11">
        <v>15</v>
      </c>
      <c r="E11">
        <v>10</v>
      </c>
    </row>
    <row r="12" spans="1:11" x14ac:dyDescent="0.2">
      <c r="A12">
        <v>7</v>
      </c>
      <c r="B12">
        <v>60</v>
      </c>
      <c r="C12">
        <v>30</v>
      </c>
      <c r="D12">
        <v>20</v>
      </c>
      <c r="E12">
        <v>20</v>
      </c>
    </row>
    <row r="13" spans="1:11" x14ac:dyDescent="0.2">
      <c r="A13">
        <v>8</v>
      </c>
      <c r="B13">
        <v>70</v>
      </c>
      <c r="C13">
        <v>35</v>
      </c>
      <c r="D13">
        <v>25</v>
      </c>
    </row>
    <row r="14" spans="1:11" x14ac:dyDescent="0.2">
      <c r="A14">
        <v>9</v>
      </c>
      <c r="B14">
        <v>80</v>
      </c>
      <c r="C14">
        <v>40</v>
      </c>
      <c r="D14">
        <v>30</v>
      </c>
    </row>
    <row r="15" spans="1:11" x14ac:dyDescent="0.2">
      <c r="A15">
        <v>10</v>
      </c>
      <c r="B15">
        <v>90</v>
      </c>
      <c r="C15">
        <v>45</v>
      </c>
      <c r="D15">
        <v>35</v>
      </c>
    </row>
    <row r="16" spans="1:11" x14ac:dyDescent="0.2">
      <c r="A16">
        <v>11</v>
      </c>
      <c r="B16">
        <v>100</v>
      </c>
      <c r="C16">
        <v>50</v>
      </c>
      <c r="D16">
        <v>40</v>
      </c>
    </row>
    <row r="17" spans="1:10" x14ac:dyDescent="0.2">
      <c r="A17">
        <v>12</v>
      </c>
      <c r="B17">
        <v>110</v>
      </c>
      <c r="C17">
        <v>55</v>
      </c>
      <c r="D17">
        <v>45</v>
      </c>
    </row>
    <row r="18" spans="1:10" x14ac:dyDescent="0.2">
      <c r="A18">
        <v>13</v>
      </c>
      <c r="B18">
        <v>120</v>
      </c>
      <c r="C18">
        <v>60</v>
      </c>
      <c r="D18">
        <v>50</v>
      </c>
    </row>
    <row r="19" spans="1:10" x14ac:dyDescent="0.2">
      <c r="A19">
        <v>14</v>
      </c>
      <c r="B19">
        <v>130</v>
      </c>
      <c r="C19">
        <v>65</v>
      </c>
      <c r="D19">
        <v>55</v>
      </c>
    </row>
    <row r="20" spans="1:10" x14ac:dyDescent="0.2">
      <c r="A20">
        <v>15</v>
      </c>
      <c r="D20">
        <v>60</v>
      </c>
    </row>
    <row r="21" spans="1:10" x14ac:dyDescent="0.2">
      <c r="A21">
        <v>16</v>
      </c>
      <c r="D21">
        <v>65</v>
      </c>
    </row>
    <row r="25" spans="1:10" x14ac:dyDescent="0.2">
      <c r="E25" s="16" t="s">
        <v>22</v>
      </c>
      <c r="F25" s="17">
        <f>Calculator!$U$20</f>
        <v>0.337675</v>
      </c>
      <c r="G25" s="17" t="s">
        <v>23</v>
      </c>
      <c r="H25" t="str">
        <f>VLOOKUP(Calculator!$T$20,Calculator!$S$22:$T$36,2)</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7">
        <f>('VS&amp;RT'!B30+'VS&amp;RT'!B38)/2</f>
        <v>52</v>
      </c>
      <c r="C30" s="2">
        <f>C31-VLOOKUP($D$4,$A$6:$E$11,5)</f>
        <v>15</v>
      </c>
      <c r="D30" s="172">
        <f>'RT&amp;Temp'!D30</f>
        <v>3.9000000000000004</v>
      </c>
      <c r="E30" s="3">
        <f>IF(C30&lt;5,0,IF(C30&gt;60,NA(),0.566*(1+1110*EXP(-1*0.187*C30))^(1/(1-2.83))))</f>
        <v>5.6348056051357183E-2</v>
      </c>
      <c r="F30" s="3">
        <f>0.6+0.0006*EXP(0.1185*B30)</f>
        <v>0.88462552708332431</v>
      </c>
      <c r="G30" s="8" t="str">
        <f>IF($D30&lt;1/$E30,"WshOut",$F$25*B30/D30*(1-F30/(E30*D30-1+F30)))</f>
        <v>WshOut</v>
      </c>
      <c r="H30" s="80">
        <f>IF($D30&lt;1/$E30,0,G30*D30)</f>
        <v>0</v>
      </c>
      <c r="I30" s="77">
        <f>B30-H30/0.5</f>
        <v>52</v>
      </c>
      <c r="J30" s="78">
        <f>(B30-I30)/B30</f>
        <v>0</v>
      </c>
    </row>
    <row r="31" spans="1:10" x14ac:dyDescent="0.2">
      <c r="B31" s="7">
        <f t="shared" ref="B31:B56" si="0">B30</f>
        <v>52</v>
      </c>
      <c r="C31" s="2">
        <f>C32-VLOOKUP($D$4,$A$6:$E$11,5)</f>
        <v>20</v>
      </c>
      <c r="D31" s="172">
        <f>D30</f>
        <v>3.9000000000000004</v>
      </c>
      <c r="E31" s="3">
        <f t="shared" ref="E31:E44" si="1">IF(C31&lt;5,0,IF(C31&gt;60,NA(),0.566*(1+1110*EXP(-1*0.187*C31))^(1/(1-2.83))))</f>
        <v>9.2778192724252737E-2</v>
      </c>
      <c r="F31" s="3">
        <f t="shared" ref="F31:F56" si="2">0.6+0.0006*EXP(0.1185*B31)</f>
        <v>0.88462552708332431</v>
      </c>
      <c r="G31" s="8" t="str">
        <f t="shared" ref="G31:G56" si="3">IF($D31&lt;1/$E31,"WshOut",$F$25*B31/D31*(1-F31/(E31*D31-1+F31)))</f>
        <v>WshOut</v>
      </c>
      <c r="H31" s="80">
        <f t="shared" ref="H31:H56" si="4">IF($D31&lt;1/$E31,0,G31*D31)</f>
        <v>0</v>
      </c>
      <c r="I31" s="77">
        <f t="shared" ref="I31:I56" si="5">B31-H31/0.5</f>
        <v>52</v>
      </c>
      <c r="J31" s="73">
        <f t="shared" ref="J31:J56" si="6">(B31-I31)/B31</f>
        <v>0</v>
      </c>
    </row>
    <row r="32" spans="1:10" x14ac:dyDescent="0.2">
      <c r="B32" s="7">
        <f t="shared" si="0"/>
        <v>52</v>
      </c>
      <c r="C32" s="2">
        <f>C33-VLOOKUP($D$4,$A$6:$E$11,5)</f>
        <v>25</v>
      </c>
      <c r="D32" s="172">
        <f t="shared" ref="D32:D38" si="7">D31</f>
        <v>3.9000000000000004</v>
      </c>
      <c r="E32" s="3">
        <f t="shared" si="1"/>
        <v>0.15006799913832075</v>
      </c>
      <c r="F32" s="3">
        <f t="shared" si="2"/>
        <v>0.88462552708332431</v>
      </c>
      <c r="G32" s="8" t="str">
        <f t="shared" si="3"/>
        <v>WshOut</v>
      </c>
      <c r="H32" s="80">
        <f t="shared" si="4"/>
        <v>0</v>
      </c>
      <c r="I32" s="77">
        <f t="shared" si="5"/>
        <v>52</v>
      </c>
      <c r="J32" s="73">
        <f t="shared" si="6"/>
        <v>0</v>
      </c>
    </row>
    <row r="33" spans="2:10" x14ac:dyDescent="0.2">
      <c r="B33" s="7">
        <f t="shared" si="0"/>
        <v>52</v>
      </c>
      <c r="C33" s="2">
        <f>C34-VLOOKUP($D$4,$A$6:$E$11,5)</f>
        <v>30</v>
      </c>
      <c r="D33" s="172">
        <f t="shared" si="7"/>
        <v>3.9000000000000004</v>
      </c>
      <c r="E33" s="3">
        <f t="shared" si="1"/>
        <v>0.23326908223852505</v>
      </c>
      <c r="F33" s="3">
        <f t="shared" si="2"/>
        <v>0.88462552708332431</v>
      </c>
      <c r="G33" s="8" t="str">
        <f t="shared" si="3"/>
        <v>WshOut</v>
      </c>
      <c r="H33" s="80">
        <f t="shared" si="4"/>
        <v>0</v>
      </c>
      <c r="I33" s="77">
        <f t="shared" si="5"/>
        <v>52</v>
      </c>
      <c r="J33" s="73">
        <f t="shared" si="6"/>
        <v>0</v>
      </c>
    </row>
    <row r="34" spans="2:10" x14ac:dyDescent="0.2">
      <c r="B34" s="7">
        <f t="shared" si="0"/>
        <v>52</v>
      </c>
      <c r="C34" s="2">
        <f>VLOOKUP($D$3,$A$6:$D$19,3)</f>
        <v>35</v>
      </c>
      <c r="D34" s="172">
        <f t="shared" si="7"/>
        <v>3.9000000000000004</v>
      </c>
      <c r="E34" s="3">
        <f t="shared" si="1"/>
        <v>0.33610627813438543</v>
      </c>
      <c r="F34" s="3">
        <f t="shared" si="2"/>
        <v>0.88462552708332431</v>
      </c>
      <c r="G34" s="8">
        <f t="shared" si="3"/>
        <v>1.1706069741971969</v>
      </c>
      <c r="H34" s="80">
        <f t="shared" si="4"/>
        <v>4.5653671993690681</v>
      </c>
      <c r="I34" s="77">
        <f t="shared" si="5"/>
        <v>42.869265601261866</v>
      </c>
      <c r="J34" s="73">
        <f t="shared" si="6"/>
        <v>0.17559104612957951</v>
      </c>
    </row>
    <row r="35" spans="2:10" x14ac:dyDescent="0.2">
      <c r="B35" s="7">
        <f t="shared" si="0"/>
        <v>52</v>
      </c>
      <c r="C35" s="2">
        <f>C34+VLOOKUP($D$4,$A$6:$E$11,5)</f>
        <v>40</v>
      </c>
      <c r="D35" s="172">
        <f t="shared" si="7"/>
        <v>3.9000000000000004</v>
      </c>
      <c r="E35" s="3">
        <f t="shared" si="1"/>
        <v>0.43391281694873673</v>
      </c>
      <c r="F35" s="3">
        <f t="shared" si="2"/>
        <v>0.88462552708332431</v>
      </c>
      <c r="G35" s="8">
        <f t="shared" si="3"/>
        <v>1.9765450216224651</v>
      </c>
      <c r="H35" s="80">
        <f t="shared" si="4"/>
        <v>7.7085255843276146</v>
      </c>
      <c r="I35" s="77">
        <f t="shared" si="5"/>
        <v>36.582948831344773</v>
      </c>
      <c r="J35" s="73">
        <f t="shared" si="6"/>
        <v>0.29648175324336978</v>
      </c>
    </row>
    <row r="36" spans="2:10" x14ac:dyDescent="0.2">
      <c r="B36" s="7">
        <f t="shared" si="0"/>
        <v>52</v>
      </c>
      <c r="C36" s="2">
        <f>C35+VLOOKUP($D$4,$A$6:$E$11,5)</f>
        <v>45</v>
      </c>
      <c r="D36" s="172">
        <f t="shared" si="7"/>
        <v>3.9000000000000004</v>
      </c>
      <c r="E36" s="3">
        <f t="shared" si="1"/>
        <v>0.50192909834520427</v>
      </c>
      <c r="F36" s="3">
        <f t="shared" si="2"/>
        <v>0.88462552708332431</v>
      </c>
      <c r="G36" s="8">
        <f t="shared" si="3"/>
        <v>2.340250366579451</v>
      </c>
      <c r="H36" s="80">
        <f t="shared" si="4"/>
        <v>9.1269764296598588</v>
      </c>
      <c r="I36" s="77">
        <f t="shared" si="5"/>
        <v>33.746047140680282</v>
      </c>
      <c r="J36" s="73">
        <f t="shared" si="6"/>
        <v>0.35103755498691763</v>
      </c>
    </row>
    <row r="37" spans="2:10" x14ac:dyDescent="0.2">
      <c r="B37" s="7">
        <f t="shared" si="0"/>
        <v>52</v>
      </c>
      <c r="C37" s="2">
        <f>C36+VLOOKUP($D$4,$A$6:$E$11,5)</f>
        <v>50</v>
      </c>
      <c r="D37" s="172">
        <f t="shared" si="7"/>
        <v>3.9000000000000004</v>
      </c>
      <c r="E37" s="3">
        <f t="shared" si="1"/>
        <v>0.53820403085336554</v>
      </c>
      <c r="F37" s="3">
        <f t="shared" si="2"/>
        <v>0.88462552708332431</v>
      </c>
      <c r="G37" s="8">
        <f t="shared" si="3"/>
        <v>2.4944505264203078</v>
      </c>
      <c r="H37" s="80">
        <f t="shared" si="4"/>
        <v>9.7283570530392023</v>
      </c>
      <c r="I37" s="77">
        <f t="shared" si="5"/>
        <v>32.543285893921592</v>
      </c>
      <c r="J37" s="73">
        <f t="shared" si="6"/>
        <v>0.37416757896304631</v>
      </c>
    </row>
    <row r="38" spans="2:10" x14ac:dyDescent="0.2">
      <c r="B38" s="7">
        <f t="shared" si="0"/>
        <v>52</v>
      </c>
      <c r="C38" s="2">
        <f>C37+VLOOKUP($D$4,$A$6:$E$11,5)</f>
        <v>55</v>
      </c>
      <c r="D38" s="172">
        <f t="shared" si="7"/>
        <v>3.9000000000000004</v>
      </c>
      <c r="E38" s="3">
        <f t="shared" si="1"/>
        <v>0.55461164043194688</v>
      </c>
      <c r="F38" s="3">
        <f t="shared" si="2"/>
        <v>0.88462552708332431</v>
      </c>
      <c r="G38" s="8">
        <f t="shared" si="3"/>
        <v>2.5571986644722302</v>
      </c>
      <c r="H38" s="80">
        <f t="shared" si="4"/>
        <v>9.9730747914416984</v>
      </c>
      <c r="I38" s="77">
        <f t="shared" si="5"/>
        <v>32.053850417116607</v>
      </c>
      <c r="J38" s="73">
        <f t="shared" si="6"/>
        <v>0.3835797996708345</v>
      </c>
    </row>
    <row r="39" spans="2:10" x14ac:dyDescent="0.2">
      <c r="B39" s="7">
        <f t="shared" si="0"/>
        <v>52</v>
      </c>
      <c r="C39" s="2">
        <f t="shared" ref="C39:C56" si="8">C30</f>
        <v>15</v>
      </c>
      <c r="D39" s="172">
        <f>'RT&amp;Temp'!D34</f>
        <v>11.9</v>
      </c>
      <c r="E39" s="3">
        <f t="shared" si="1"/>
        <v>5.6348056051357183E-2</v>
      </c>
      <c r="F39" s="3">
        <f t="shared" si="2"/>
        <v>0.88462552708332431</v>
      </c>
      <c r="G39" s="8" t="str">
        <f t="shared" si="3"/>
        <v>WshOut</v>
      </c>
      <c r="H39" s="80">
        <f t="shared" si="4"/>
        <v>0</v>
      </c>
      <c r="I39" s="77">
        <f t="shared" si="5"/>
        <v>52</v>
      </c>
      <c r="J39" s="73">
        <f t="shared" si="6"/>
        <v>0</v>
      </c>
    </row>
    <row r="40" spans="2:10" x14ac:dyDescent="0.2">
      <c r="B40" s="7">
        <f t="shared" si="0"/>
        <v>52</v>
      </c>
      <c r="C40" s="2">
        <f t="shared" si="8"/>
        <v>20</v>
      </c>
      <c r="D40" s="172">
        <f t="shared" ref="D40:D47" si="9">D39</f>
        <v>11.9</v>
      </c>
      <c r="E40" s="3">
        <f t="shared" si="1"/>
        <v>9.2778192724252737E-2</v>
      </c>
      <c r="F40" s="3">
        <f t="shared" si="2"/>
        <v>0.88462552708332431</v>
      </c>
      <c r="G40" s="8">
        <f t="shared" si="3"/>
        <v>0.15530404884023205</v>
      </c>
      <c r="H40" s="80">
        <f t="shared" si="4"/>
        <v>1.8481181811987615</v>
      </c>
      <c r="I40" s="77">
        <f t="shared" si="5"/>
        <v>48.303763637602479</v>
      </c>
      <c r="J40" s="73">
        <f t="shared" si="6"/>
        <v>7.108146850764463E-2</v>
      </c>
    </row>
    <row r="41" spans="2:10" x14ac:dyDescent="0.2">
      <c r="B41" s="7">
        <f t="shared" si="0"/>
        <v>52</v>
      </c>
      <c r="C41" s="2">
        <f t="shared" si="8"/>
        <v>25</v>
      </c>
      <c r="D41" s="172">
        <f t="shared" si="9"/>
        <v>11.9</v>
      </c>
      <c r="E41" s="3">
        <f t="shared" si="1"/>
        <v>0.15006799913832075</v>
      </c>
      <c r="F41" s="3">
        <f t="shared" si="2"/>
        <v>0.88462552708332431</v>
      </c>
      <c r="G41" s="8">
        <f t="shared" si="3"/>
        <v>0.6941333116099313</v>
      </c>
      <c r="H41" s="80">
        <f t="shared" si="4"/>
        <v>8.2601864081581819</v>
      </c>
      <c r="I41" s="77">
        <f t="shared" si="5"/>
        <v>35.479627183683633</v>
      </c>
      <c r="J41" s="73">
        <f t="shared" si="6"/>
        <v>0.31769947723685321</v>
      </c>
    </row>
    <row r="42" spans="2:10" x14ac:dyDescent="0.2">
      <c r="B42" s="7">
        <f t="shared" si="0"/>
        <v>52</v>
      </c>
      <c r="C42" s="2">
        <f t="shared" si="8"/>
        <v>30</v>
      </c>
      <c r="D42" s="172">
        <f t="shared" si="9"/>
        <v>11.9</v>
      </c>
      <c r="E42" s="3">
        <f t="shared" si="1"/>
        <v>0.23326908223852505</v>
      </c>
      <c r="F42" s="3">
        <f t="shared" si="2"/>
        <v>0.88462552708332431</v>
      </c>
      <c r="G42" s="8">
        <f t="shared" si="3"/>
        <v>0.98493265563198262</v>
      </c>
      <c r="H42" s="80">
        <f t="shared" si="4"/>
        <v>11.720698602020594</v>
      </c>
      <c r="I42" s="77">
        <f t="shared" si="5"/>
        <v>28.558602795958812</v>
      </c>
      <c r="J42" s="73">
        <f t="shared" si="6"/>
        <v>0.45079610007771515</v>
      </c>
    </row>
    <row r="43" spans="2:10" x14ac:dyDescent="0.2">
      <c r="B43" s="7">
        <f t="shared" si="0"/>
        <v>52</v>
      </c>
      <c r="C43" s="2">
        <f t="shared" si="8"/>
        <v>35</v>
      </c>
      <c r="D43" s="172">
        <f t="shared" si="9"/>
        <v>11.9</v>
      </c>
      <c r="E43" s="3">
        <f t="shared" si="1"/>
        <v>0.33610627813438543</v>
      </c>
      <c r="F43" s="3">
        <f t="shared" si="2"/>
        <v>0.88462552708332431</v>
      </c>
      <c r="G43" s="8">
        <f t="shared" si="3"/>
        <v>1.1395052523400369</v>
      </c>
      <c r="H43" s="80">
        <f t="shared" si="4"/>
        <v>13.560112502846438</v>
      </c>
      <c r="I43" s="77">
        <f t="shared" si="5"/>
        <v>24.879774994307123</v>
      </c>
      <c r="J43" s="73">
        <f t="shared" si="6"/>
        <v>0.52154278857101688</v>
      </c>
    </row>
    <row r="44" spans="2:10" x14ac:dyDescent="0.2">
      <c r="B44" s="7">
        <f t="shared" si="0"/>
        <v>52</v>
      </c>
      <c r="C44" s="2">
        <f t="shared" si="8"/>
        <v>40</v>
      </c>
      <c r="D44" s="172">
        <f t="shared" si="9"/>
        <v>11.9</v>
      </c>
      <c r="E44" s="3">
        <f t="shared" si="1"/>
        <v>0.43391281694873673</v>
      </c>
      <c r="F44" s="3">
        <f t="shared" si="2"/>
        <v>0.88462552708332431</v>
      </c>
      <c r="G44" s="8">
        <f t="shared" si="3"/>
        <v>1.2169839678869943</v>
      </c>
      <c r="H44" s="80">
        <f t="shared" si="4"/>
        <v>14.482109217855232</v>
      </c>
      <c r="I44" s="77">
        <f t="shared" si="5"/>
        <v>23.035781564289536</v>
      </c>
      <c r="J44" s="73">
        <f t="shared" si="6"/>
        <v>0.55700420068673973</v>
      </c>
    </row>
    <row r="45" spans="2:10" x14ac:dyDescent="0.2">
      <c r="B45" s="7">
        <f t="shared" si="0"/>
        <v>52</v>
      </c>
      <c r="C45" s="2">
        <f t="shared" si="8"/>
        <v>45</v>
      </c>
      <c r="D45" s="172">
        <f t="shared" si="9"/>
        <v>11.9</v>
      </c>
      <c r="E45" s="3">
        <f t="shared" ref="E45:E56" si="10">IF(C45&lt;5,0,IF(C45&gt;60,NA(),0.566*(1+1110*EXP(-1*0.187*C45))^(1/(1-2.83))))</f>
        <v>0.50192909834520427</v>
      </c>
      <c r="F45" s="3">
        <f t="shared" si="2"/>
        <v>0.88462552708332431</v>
      </c>
      <c r="G45" s="8">
        <f t="shared" si="3"/>
        <v>1.2527129560824137</v>
      </c>
      <c r="H45" s="80">
        <f t="shared" si="4"/>
        <v>14.907284177380724</v>
      </c>
      <c r="I45" s="77">
        <f t="shared" si="5"/>
        <v>22.185431645238552</v>
      </c>
      <c r="J45" s="73">
        <f t="shared" si="6"/>
        <v>0.5733570837454125</v>
      </c>
    </row>
    <row r="46" spans="2:10" x14ac:dyDescent="0.2">
      <c r="B46" s="7">
        <f t="shared" si="0"/>
        <v>52</v>
      </c>
      <c r="C46" s="2">
        <f t="shared" si="8"/>
        <v>50</v>
      </c>
      <c r="D46" s="172">
        <f t="shared" si="9"/>
        <v>11.9</v>
      </c>
      <c r="E46" s="3">
        <f t="shared" si="10"/>
        <v>0.53820403085336554</v>
      </c>
      <c r="F46" s="3">
        <f t="shared" si="2"/>
        <v>0.88462552708332431</v>
      </c>
      <c r="G46" s="8">
        <f t="shared" si="3"/>
        <v>1.2680080050222777</v>
      </c>
      <c r="H46" s="80">
        <f t="shared" si="4"/>
        <v>15.089295259765105</v>
      </c>
      <c r="I46" s="77">
        <f t="shared" si="5"/>
        <v>21.821409480469789</v>
      </c>
      <c r="J46" s="73">
        <f t="shared" si="6"/>
        <v>0.58035750999096558</v>
      </c>
    </row>
    <row r="47" spans="2:10" x14ac:dyDescent="0.2">
      <c r="B47" s="7">
        <f t="shared" si="0"/>
        <v>52</v>
      </c>
      <c r="C47" s="2">
        <f t="shared" si="8"/>
        <v>55</v>
      </c>
      <c r="D47" s="172">
        <f t="shared" si="9"/>
        <v>11.9</v>
      </c>
      <c r="E47" s="3">
        <f t="shared" si="10"/>
        <v>0.55461164043194688</v>
      </c>
      <c r="F47" s="3">
        <f t="shared" si="2"/>
        <v>0.88462552708332431</v>
      </c>
      <c r="G47" s="8">
        <f t="shared" si="3"/>
        <v>1.2742573020559047</v>
      </c>
      <c r="H47" s="80">
        <f t="shared" si="4"/>
        <v>15.163661894465266</v>
      </c>
      <c r="I47" s="77">
        <f t="shared" si="5"/>
        <v>21.672676211069469</v>
      </c>
      <c r="J47" s="73">
        <f t="shared" si="6"/>
        <v>0.58321776517174095</v>
      </c>
    </row>
    <row r="48" spans="2:10" x14ac:dyDescent="0.2">
      <c r="B48" s="7">
        <f t="shared" si="0"/>
        <v>52</v>
      </c>
      <c r="C48" s="2">
        <f t="shared" si="8"/>
        <v>15</v>
      </c>
      <c r="D48" s="172">
        <f>'RT&amp;Temp'!D38</f>
        <v>19.899999999999999</v>
      </c>
      <c r="E48" s="3">
        <f t="shared" si="10"/>
        <v>5.6348056051357183E-2</v>
      </c>
      <c r="F48" s="3">
        <f t="shared" si="2"/>
        <v>0.88462552708332431</v>
      </c>
      <c r="G48" s="8">
        <f t="shared" si="3"/>
        <v>0.10642091630739685</v>
      </c>
      <c r="H48" s="80">
        <f t="shared" si="4"/>
        <v>2.1177762345171973</v>
      </c>
      <c r="I48" s="77">
        <f t="shared" si="5"/>
        <v>47.764447530965604</v>
      </c>
      <c r="J48" s="73">
        <f t="shared" si="6"/>
        <v>8.1452932096815298E-2</v>
      </c>
    </row>
    <row r="49" spans="2:10" x14ac:dyDescent="0.2">
      <c r="B49" s="7">
        <f t="shared" si="0"/>
        <v>52</v>
      </c>
      <c r="C49" s="2">
        <f t="shared" si="8"/>
        <v>20</v>
      </c>
      <c r="D49" s="172">
        <f t="shared" ref="D49:D56" si="11">D48</f>
        <v>19.899999999999999</v>
      </c>
      <c r="E49" s="3">
        <f t="shared" si="10"/>
        <v>9.2778192724252737E-2</v>
      </c>
      <c r="F49" s="3">
        <f t="shared" si="2"/>
        <v>0.88462552708332431</v>
      </c>
      <c r="G49" s="8">
        <f t="shared" si="3"/>
        <v>0.43141125517878665</v>
      </c>
      <c r="H49" s="80">
        <f t="shared" si="4"/>
        <v>8.5850839780578543</v>
      </c>
      <c r="I49" s="77">
        <f t="shared" si="5"/>
        <v>34.829832043884295</v>
      </c>
      <c r="J49" s="73">
        <f t="shared" si="6"/>
        <v>0.33019553761760972</v>
      </c>
    </row>
    <row r="50" spans="2:10" x14ac:dyDescent="0.2">
      <c r="B50" s="7">
        <f t="shared" si="0"/>
        <v>52</v>
      </c>
      <c r="C50" s="2">
        <f t="shared" si="8"/>
        <v>25</v>
      </c>
      <c r="D50" s="172">
        <f t="shared" si="11"/>
        <v>19.899999999999999</v>
      </c>
      <c r="E50" s="3">
        <f t="shared" si="10"/>
        <v>0.15006799913832075</v>
      </c>
      <c r="F50" s="3">
        <f t="shared" si="2"/>
        <v>0.88462552708332431</v>
      </c>
      <c r="G50" s="8">
        <f t="shared" si="3"/>
        <v>0.61048595150953289</v>
      </c>
      <c r="H50" s="80">
        <f t="shared" si="4"/>
        <v>12.148670435039703</v>
      </c>
      <c r="I50" s="77">
        <f t="shared" si="5"/>
        <v>27.702659129920594</v>
      </c>
      <c r="J50" s="73">
        <f t="shared" si="6"/>
        <v>0.46725655519383474</v>
      </c>
    </row>
    <row r="51" spans="2:10" x14ac:dyDescent="0.2">
      <c r="B51" s="7">
        <f t="shared" si="0"/>
        <v>52</v>
      </c>
      <c r="C51" s="2">
        <f t="shared" si="8"/>
        <v>30</v>
      </c>
      <c r="D51" s="172">
        <f t="shared" si="11"/>
        <v>19.899999999999999</v>
      </c>
      <c r="E51" s="3">
        <f t="shared" si="10"/>
        <v>0.23326908223852505</v>
      </c>
      <c r="F51" s="3">
        <f t="shared" si="2"/>
        <v>0.88462552708332431</v>
      </c>
      <c r="G51" s="8">
        <f t="shared" si="3"/>
        <v>0.70993048340167131</v>
      </c>
      <c r="H51" s="80">
        <f t="shared" si="4"/>
        <v>14.127616619693258</v>
      </c>
      <c r="I51" s="77">
        <f t="shared" si="5"/>
        <v>23.744766760613484</v>
      </c>
      <c r="J51" s="73">
        <f t="shared" si="6"/>
        <v>0.54336986998820225</v>
      </c>
    </row>
    <row r="52" spans="2:10" x14ac:dyDescent="0.2">
      <c r="B52" s="7">
        <f t="shared" si="0"/>
        <v>52</v>
      </c>
      <c r="C52" s="2">
        <f t="shared" si="8"/>
        <v>35</v>
      </c>
      <c r="D52" s="172">
        <f t="shared" si="11"/>
        <v>19.899999999999999</v>
      </c>
      <c r="E52" s="3">
        <f t="shared" si="10"/>
        <v>0.33610627813438543</v>
      </c>
      <c r="F52" s="3">
        <f t="shared" si="2"/>
        <v>0.88462552708332431</v>
      </c>
      <c r="G52" s="8">
        <f t="shared" si="3"/>
        <v>0.76361625668406641</v>
      </c>
      <c r="H52" s="80">
        <f t="shared" si="4"/>
        <v>15.19596350801292</v>
      </c>
      <c r="I52" s="77">
        <f t="shared" si="5"/>
        <v>21.608072983974161</v>
      </c>
      <c r="J52" s="73">
        <f t="shared" si="6"/>
        <v>0.58446013492357385</v>
      </c>
    </row>
    <row r="53" spans="2:10" x14ac:dyDescent="0.2">
      <c r="B53" s="7">
        <f t="shared" si="0"/>
        <v>52</v>
      </c>
      <c r="C53" s="2">
        <f t="shared" si="8"/>
        <v>40</v>
      </c>
      <c r="D53" s="172">
        <f t="shared" si="11"/>
        <v>19.899999999999999</v>
      </c>
      <c r="E53" s="3">
        <f t="shared" si="10"/>
        <v>0.43391281694873673</v>
      </c>
      <c r="F53" s="3">
        <f t="shared" si="2"/>
        <v>0.88462552708332431</v>
      </c>
      <c r="G53" s="8">
        <f t="shared" si="3"/>
        <v>0.79074583664408948</v>
      </c>
      <c r="H53" s="80">
        <f t="shared" si="4"/>
        <v>15.73584214921738</v>
      </c>
      <c r="I53" s="77">
        <f t="shared" si="5"/>
        <v>20.528315701565241</v>
      </c>
      <c r="J53" s="73">
        <f t="shared" si="6"/>
        <v>0.60522469804682233</v>
      </c>
    </row>
    <row r="54" spans="2:10" x14ac:dyDescent="0.2">
      <c r="B54" s="7">
        <f t="shared" si="0"/>
        <v>52</v>
      </c>
      <c r="C54" s="2">
        <f t="shared" si="8"/>
        <v>45</v>
      </c>
      <c r="D54" s="172">
        <f t="shared" si="11"/>
        <v>19.899999999999999</v>
      </c>
      <c r="E54" s="3">
        <f t="shared" si="10"/>
        <v>0.50192909834520427</v>
      </c>
      <c r="F54" s="3">
        <f t="shared" si="2"/>
        <v>0.88462552708332431</v>
      </c>
      <c r="G54" s="8">
        <f t="shared" si="3"/>
        <v>0.8033064601476948</v>
      </c>
      <c r="H54" s="80">
        <f t="shared" si="4"/>
        <v>15.985798556939125</v>
      </c>
      <c r="I54" s="77">
        <f t="shared" si="5"/>
        <v>20.02840288612175</v>
      </c>
      <c r="J54" s="73">
        <f t="shared" si="6"/>
        <v>0.61483840603612017</v>
      </c>
    </row>
    <row r="55" spans="2:10" x14ac:dyDescent="0.2">
      <c r="B55" s="7">
        <f t="shared" si="0"/>
        <v>52</v>
      </c>
      <c r="C55" s="2">
        <f t="shared" si="8"/>
        <v>50</v>
      </c>
      <c r="D55" s="172">
        <f t="shared" si="11"/>
        <v>19.899999999999999</v>
      </c>
      <c r="E55" s="3">
        <f t="shared" si="10"/>
        <v>0.53820403085336554</v>
      </c>
      <c r="F55" s="3">
        <f t="shared" si="2"/>
        <v>0.88462552708332431</v>
      </c>
      <c r="G55" s="8">
        <f t="shared" si="3"/>
        <v>0.80869315378996975</v>
      </c>
      <c r="H55" s="80">
        <f t="shared" si="4"/>
        <v>16.092993760420399</v>
      </c>
      <c r="I55" s="77">
        <f t="shared" si="5"/>
        <v>19.814012479159203</v>
      </c>
      <c r="J55" s="73">
        <f t="shared" si="6"/>
        <v>0.61896129847770764</v>
      </c>
    </row>
    <row r="56" spans="2:10" ht="13.5" thickBot="1" x14ac:dyDescent="0.25">
      <c r="B56" s="9">
        <f t="shared" si="0"/>
        <v>52</v>
      </c>
      <c r="C56" s="10">
        <f t="shared" si="8"/>
        <v>55</v>
      </c>
      <c r="D56" s="173">
        <f t="shared" si="11"/>
        <v>19.899999999999999</v>
      </c>
      <c r="E56" s="11">
        <f t="shared" si="10"/>
        <v>0.55461164043194688</v>
      </c>
      <c r="F56" s="11">
        <f t="shared" si="2"/>
        <v>0.88462552708332431</v>
      </c>
      <c r="G56" s="13">
        <f t="shared" si="3"/>
        <v>0.81089573816645633</v>
      </c>
      <c r="H56" s="81">
        <f t="shared" si="4"/>
        <v>16.136825189512479</v>
      </c>
      <c r="I56" s="77">
        <f t="shared" si="5"/>
        <v>19.726349620975043</v>
      </c>
      <c r="J56" s="74">
        <f t="shared" si="6"/>
        <v>0.62064712267355682</v>
      </c>
    </row>
  </sheetData>
  <mergeCells count="2">
    <mergeCell ref="I3:K3"/>
    <mergeCell ref="I1:K1"/>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52" bottom="0.43" header="0.33" footer="0.19"/>
  <pageSetup paperSize="9" orientation="portrait" blackAndWhite="1" horizontalDpi="300" r:id="rId1"/>
  <headerFooter alignWithMargins="0">
    <oddHeader>&amp;L&amp;F&amp;C&amp;A&amp;R&amp;D&amp;T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5" r:id="rId4" name="Drop Down 7">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mc:AlternateContent xmlns:mc="http://schemas.openxmlformats.org/markup-compatibility/2006">
          <mc:Choice Requires="x14">
            <control shapeId="2056" r:id="rId5" name="Drop Down 8">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2058" r:id="rId6" name="Drop Down 10">
              <controlPr defaultSize="0" autoFill="0" autoLine="0" autoPict="0">
                <anchor moveWithCells="1">
                  <from>
                    <xdr:col>1</xdr:col>
                    <xdr:colOff>38100</xdr:colOff>
                    <xdr:row>2</xdr:row>
                    <xdr:rowOff>180975</xdr:rowOff>
                  </from>
                  <to>
                    <xdr:col>1</xdr:col>
                    <xdr:colOff>581025</xdr:colOff>
                    <xdr:row>3</xdr:row>
                    <xdr:rowOff>180975</xdr:rowOff>
                  </to>
                </anchor>
              </controlPr>
            </control>
          </mc:Choice>
        </mc:AlternateContent>
        <mc:AlternateContent xmlns:mc="http://schemas.openxmlformats.org/markup-compatibility/2006">
          <mc:Choice Requires="x14">
            <control shapeId="2059" r:id="rId7" name="Drop Down 11">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56"/>
  <sheetViews>
    <sheetView zoomScale="95" workbookViewId="0">
      <selection activeCell="R7" sqref="R7"/>
    </sheetView>
  </sheetViews>
  <sheetFormatPr defaultRowHeight="12.75" x14ac:dyDescent="0.2"/>
  <cols>
    <col min="9" max="9" width="9.5703125" bestFit="1" customWidth="1"/>
  </cols>
  <sheetData>
    <row r="1" spans="1:11" ht="13.5" thickBot="1" x14ac:dyDescent="0.25">
      <c r="A1" s="14" t="s">
        <v>12</v>
      </c>
      <c r="D1" s="211" t="s">
        <v>270</v>
      </c>
      <c r="I1" s="282" t="s">
        <v>202</v>
      </c>
      <c r="J1" s="283"/>
      <c r="K1" s="284"/>
    </row>
    <row r="2" spans="1:11" ht="15" thickBot="1" x14ac:dyDescent="0.25">
      <c r="A2" s="1" t="s">
        <v>13</v>
      </c>
      <c r="B2" t="s">
        <v>14</v>
      </c>
      <c r="C2" t="s">
        <v>15</v>
      </c>
      <c r="D2" t="s">
        <v>16</v>
      </c>
      <c r="E2" t="s">
        <v>17</v>
      </c>
      <c r="F2" t="s">
        <v>18</v>
      </c>
      <c r="G2" t="s">
        <v>19</v>
      </c>
    </row>
    <row r="3" spans="1:11" ht="15" customHeight="1" thickBot="1" x14ac:dyDescent="0.25">
      <c r="A3" t="s">
        <v>20</v>
      </c>
      <c r="B3" s="70">
        <f>Calculator!B48</f>
        <v>52</v>
      </c>
      <c r="C3" s="68"/>
      <c r="D3" s="52"/>
      <c r="E3" s="68"/>
      <c r="F3" s="70">
        <f>Calculator!B45</f>
        <v>11.9</v>
      </c>
      <c r="I3" s="282" t="s">
        <v>233</v>
      </c>
      <c r="J3" s="283"/>
      <c r="K3" s="284"/>
    </row>
    <row r="4" spans="1:11" ht="15" customHeight="1" x14ac:dyDescent="0.2">
      <c r="A4" t="s">
        <v>21</v>
      </c>
      <c r="B4" s="52"/>
      <c r="C4" s="52"/>
      <c r="D4" s="52"/>
      <c r="E4" s="52"/>
      <c r="F4" s="52"/>
    </row>
    <row r="25" spans="1:10" x14ac:dyDescent="0.2">
      <c r="E25" s="16" t="s">
        <v>22</v>
      </c>
      <c r="F25" s="17">
        <f>'Temp&amp;RT'!F25</f>
        <v>0.337675</v>
      </c>
      <c r="G25" s="17" t="str">
        <f>'Temp&amp;RT'!G25</f>
        <v xml:space="preserve">For </v>
      </c>
      <c r="H25" s="49" t="str">
        <f>'Temp&amp;RT'!H25</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7">
        <f>B31-VLOOKUP('Temp&amp;RT'!$B$4,'Temp&amp;RT'!$A$6:$E$11,5)</f>
        <v>32</v>
      </c>
      <c r="C30" s="2">
        <f>('Temp&amp;RT'!C30+'Temp&amp;RT'!C38)/2</f>
        <v>35</v>
      </c>
      <c r="D30" s="172">
        <f>'RT&amp;Temp'!D30</f>
        <v>3.9000000000000004</v>
      </c>
      <c r="E30" s="3">
        <f>IF(C30&lt;5,0,IF(C30&gt;60,NA(),0.566*(1+1110*EXP(-1*0.187*C30))^(1/(1-2.83))))</f>
        <v>0.33610627813438543</v>
      </c>
      <c r="F30" s="3">
        <f t="shared" ref="F30:F56" si="0">0.6+0.0006*EXP(0.1185*B30)</f>
        <v>0.62660700098902433</v>
      </c>
      <c r="G30" s="8">
        <f>IF($D30&lt;1/$E30,"WshOut",$F$25*B30/D30*(1-F30/(E30*D30-1+F30)))</f>
        <v>0.91865115688823085</v>
      </c>
      <c r="H30" s="80">
        <f>IF($D30&lt;1/$E30,0,G30*D30)</f>
        <v>3.5827395118641006</v>
      </c>
      <c r="I30" s="77">
        <f>B30-H30/0.5</f>
        <v>24.834520976271797</v>
      </c>
      <c r="J30" s="78">
        <f>(B30-I30)/B30</f>
        <v>0.22392121949150634</v>
      </c>
    </row>
    <row r="31" spans="1:10" x14ac:dyDescent="0.2">
      <c r="B31" s="7">
        <f>B32-VLOOKUP('Temp&amp;RT'!$B$4,'Temp&amp;RT'!$A$6:$E$11,5)</f>
        <v>37</v>
      </c>
      <c r="C31" s="2">
        <f t="shared" ref="C31:D56" si="1">C30</f>
        <v>35</v>
      </c>
      <c r="D31" s="172">
        <f>D30</f>
        <v>3.9000000000000004</v>
      </c>
      <c r="E31" s="3">
        <f t="shared" ref="E31:E44" si="2">IF(C31&lt;5,0,IF(C31&gt;60,NA(),0.566*(1+1110*EXP(-1*0.187*C31))^(1/(1-2.83))))</f>
        <v>0.33610627813438543</v>
      </c>
      <c r="F31" s="3">
        <f t="shared" si="0"/>
        <v>0.64811886847764066</v>
      </c>
      <c r="G31" s="8">
        <f t="shared" ref="G31:G56" si="3">IF($D31&lt;1/$E31,"WshOut",$F$25*B31/D31*(1-F31/(E31*D31-1+F31)))</f>
        <v>1.0383621548840232</v>
      </c>
      <c r="H31" s="80">
        <f t="shared" ref="H31:H56" si="4">IF($D31&lt;1/$E31,0,G31*D31)</f>
        <v>4.0496124040476911</v>
      </c>
      <c r="I31" s="77">
        <f t="shared" ref="I31:I56" si="5">B31-H31/0.5</f>
        <v>28.900775191904618</v>
      </c>
      <c r="J31" s="73">
        <f t="shared" ref="J31:J56" si="6">(B31-I31)/B31</f>
        <v>0.21889796778636167</v>
      </c>
    </row>
    <row r="32" spans="1:10" x14ac:dyDescent="0.2">
      <c r="B32" s="7">
        <f>B33-VLOOKUP('Temp&amp;RT'!$B$4,'Temp&amp;RT'!$A$6:$E$11,5)</f>
        <v>42</v>
      </c>
      <c r="C32" s="2">
        <f t="shared" si="1"/>
        <v>35</v>
      </c>
      <c r="D32" s="172">
        <f t="shared" si="1"/>
        <v>3.9000000000000004</v>
      </c>
      <c r="E32" s="3">
        <f t="shared" si="2"/>
        <v>0.33610627813438543</v>
      </c>
      <c r="F32" s="3">
        <f t="shared" si="0"/>
        <v>0.68702316749353343</v>
      </c>
      <c r="G32" s="8">
        <f t="shared" si="3"/>
        <v>1.13272622173279</v>
      </c>
      <c r="H32" s="80">
        <f t="shared" si="4"/>
        <v>4.4176322647578816</v>
      </c>
      <c r="I32" s="77">
        <f t="shared" si="5"/>
        <v>33.164735470484239</v>
      </c>
      <c r="J32" s="73">
        <f t="shared" si="6"/>
        <v>0.2103634411789467</v>
      </c>
    </row>
    <row r="33" spans="2:10" x14ac:dyDescent="0.2">
      <c r="B33" s="7">
        <f>B34-VLOOKUP('Temp&amp;RT'!$B$4,'Temp&amp;RT'!$A$6:$E$11,5)</f>
        <v>47</v>
      </c>
      <c r="C33" s="2">
        <f t="shared" si="1"/>
        <v>35</v>
      </c>
      <c r="D33" s="172">
        <f t="shared" si="1"/>
        <v>3.9000000000000004</v>
      </c>
      <c r="E33" s="3">
        <f t="shared" si="2"/>
        <v>0.33610627813438543</v>
      </c>
      <c r="F33" s="3">
        <f t="shared" si="0"/>
        <v>0.75738174899367261</v>
      </c>
      <c r="G33" s="8">
        <f t="shared" si="3"/>
        <v>1.1840836022942336</v>
      </c>
      <c r="H33" s="80">
        <f t="shared" si="4"/>
        <v>4.6179260489475116</v>
      </c>
      <c r="I33" s="77">
        <f t="shared" si="5"/>
        <v>37.76414790210498</v>
      </c>
      <c r="J33" s="73">
        <f t="shared" si="6"/>
        <v>0.19650749144457488</v>
      </c>
    </row>
    <row r="34" spans="2:10" x14ac:dyDescent="0.2">
      <c r="B34" s="69">
        <f>0.1*INT(B3*10+0.5)</f>
        <v>52</v>
      </c>
      <c r="C34" s="2">
        <f t="shared" si="1"/>
        <v>35</v>
      </c>
      <c r="D34" s="172">
        <f t="shared" si="1"/>
        <v>3.9000000000000004</v>
      </c>
      <c r="E34" s="3">
        <f t="shared" si="2"/>
        <v>0.33610627813438543</v>
      </c>
      <c r="F34" s="3">
        <f t="shared" si="0"/>
        <v>0.88462552708332431</v>
      </c>
      <c r="G34" s="8">
        <f t="shared" si="3"/>
        <v>1.1706069741971969</v>
      </c>
      <c r="H34" s="80">
        <f t="shared" si="4"/>
        <v>4.5653671993690681</v>
      </c>
      <c r="I34" s="77">
        <f t="shared" si="5"/>
        <v>42.869265601261866</v>
      </c>
      <c r="J34" s="73">
        <f t="shared" si="6"/>
        <v>0.17559104612957951</v>
      </c>
    </row>
    <row r="35" spans="2:10" x14ac:dyDescent="0.2">
      <c r="B35" s="7">
        <f>B34+VLOOKUP('Temp&amp;RT'!$B$4,'Temp&amp;RT'!$A$6:$E$11,5)</f>
        <v>57</v>
      </c>
      <c r="C35" s="2">
        <f t="shared" si="1"/>
        <v>35</v>
      </c>
      <c r="D35" s="172">
        <f t="shared" si="1"/>
        <v>3.9000000000000004</v>
      </c>
      <c r="E35" s="3">
        <f t="shared" si="2"/>
        <v>0.33610627813438543</v>
      </c>
      <c r="F35" s="3">
        <f t="shared" si="0"/>
        <v>1.1147464123728672</v>
      </c>
      <c r="G35" s="8">
        <f t="shared" si="3"/>
        <v>1.0760306268629976</v>
      </c>
      <c r="H35" s="80">
        <f t="shared" si="4"/>
        <v>4.1965194447656913</v>
      </c>
      <c r="I35" s="77">
        <f t="shared" si="5"/>
        <v>48.606961110468617</v>
      </c>
      <c r="J35" s="73">
        <f t="shared" si="6"/>
        <v>0.14724629630756811</v>
      </c>
    </row>
    <row r="36" spans="2:10" x14ac:dyDescent="0.2">
      <c r="B36" s="7">
        <f>B35+VLOOKUP('Temp&amp;RT'!$B$4,'Temp&amp;RT'!$A$6:$E$11,5)</f>
        <v>62</v>
      </c>
      <c r="C36" s="2">
        <f t="shared" si="1"/>
        <v>35</v>
      </c>
      <c r="D36" s="172">
        <f t="shared" si="1"/>
        <v>3.9000000000000004</v>
      </c>
      <c r="E36" s="3">
        <f t="shared" si="2"/>
        <v>0.33610627813438543</v>
      </c>
      <c r="F36" s="3">
        <f t="shared" si="0"/>
        <v>1.5309209604842289</v>
      </c>
      <c r="G36" s="8">
        <f t="shared" si="3"/>
        <v>0.90594116584663398</v>
      </c>
      <c r="H36" s="80">
        <f t="shared" si="4"/>
        <v>3.5331705468018728</v>
      </c>
      <c r="I36" s="77">
        <f t="shared" si="5"/>
        <v>54.933658906396253</v>
      </c>
      <c r="J36" s="73">
        <f t="shared" si="6"/>
        <v>0.11397324344522172</v>
      </c>
    </row>
    <row r="37" spans="2:10" x14ac:dyDescent="0.2">
      <c r="B37" s="7">
        <f>B36+VLOOKUP('Temp&amp;RT'!$B$4,'Temp&amp;RT'!$A$6:$E$11,5)</f>
        <v>67</v>
      </c>
      <c r="C37" s="2">
        <f t="shared" si="1"/>
        <v>35</v>
      </c>
      <c r="D37" s="172">
        <f t="shared" si="1"/>
        <v>3.9000000000000004</v>
      </c>
      <c r="E37" s="3">
        <f t="shared" si="2"/>
        <v>0.33610627813438543</v>
      </c>
      <c r="F37" s="3">
        <f t="shared" si="0"/>
        <v>2.283574307344816</v>
      </c>
      <c r="G37" s="8">
        <f t="shared" si="3"/>
        <v>0.6949847812338551</v>
      </c>
      <c r="H37" s="80">
        <f t="shared" si="4"/>
        <v>2.7104406468120352</v>
      </c>
      <c r="I37" s="77">
        <f t="shared" si="5"/>
        <v>61.57911870637593</v>
      </c>
      <c r="J37" s="73">
        <f t="shared" si="6"/>
        <v>8.0908676024239859E-2</v>
      </c>
    </row>
    <row r="38" spans="2:10" x14ac:dyDescent="0.2">
      <c r="B38" s="7">
        <f>B37+VLOOKUP('Temp&amp;RT'!$B$4,'Temp&amp;RT'!$A$6:$E$11,5)</f>
        <v>72</v>
      </c>
      <c r="C38" s="2">
        <f t="shared" si="1"/>
        <v>35</v>
      </c>
      <c r="D38" s="172">
        <f t="shared" si="1"/>
        <v>3.9000000000000004</v>
      </c>
      <c r="E38" s="3">
        <f t="shared" si="2"/>
        <v>0.33610627813438543</v>
      </c>
      <c r="F38" s="3">
        <f t="shared" si="0"/>
        <v>3.6447509172821952</v>
      </c>
      <c r="G38" s="8">
        <f t="shared" si="3"/>
        <v>0.48984590086344704</v>
      </c>
      <c r="H38" s="80">
        <f t="shared" si="4"/>
        <v>1.9103990133674436</v>
      </c>
      <c r="I38" s="77">
        <f t="shared" si="5"/>
        <v>68.179201973265108</v>
      </c>
      <c r="J38" s="73">
        <f t="shared" si="6"/>
        <v>5.3066639260206827E-2</v>
      </c>
    </row>
    <row r="39" spans="2:10" x14ac:dyDescent="0.2">
      <c r="B39" s="7">
        <f t="shared" ref="B39:B56" si="7">B30</f>
        <v>32</v>
      </c>
      <c r="C39" s="2">
        <f t="shared" si="1"/>
        <v>35</v>
      </c>
      <c r="D39" s="172">
        <f>'RT&amp;Temp'!D34</f>
        <v>11.9</v>
      </c>
      <c r="E39" s="3">
        <f t="shared" si="2"/>
        <v>0.33610627813438543</v>
      </c>
      <c r="F39" s="3">
        <f t="shared" si="0"/>
        <v>0.62660700098902433</v>
      </c>
      <c r="G39" s="8">
        <f t="shared" si="3"/>
        <v>0.75112859785443087</v>
      </c>
      <c r="H39" s="80">
        <f t="shared" si="4"/>
        <v>8.9384303144677268</v>
      </c>
      <c r="I39" s="77">
        <f t="shared" si="5"/>
        <v>14.123139371064546</v>
      </c>
      <c r="J39" s="73">
        <f t="shared" si="6"/>
        <v>0.55865189465423293</v>
      </c>
    </row>
    <row r="40" spans="2:10" x14ac:dyDescent="0.2">
      <c r="B40" s="7">
        <f t="shared" si="7"/>
        <v>37</v>
      </c>
      <c r="C40" s="2">
        <f t="shared" si="1"/>
        <v>35</v>
      </c>
      <c r="D40" s="172">
        <f t="shared" si="1"/>
        <v>11.9</v>
      </c>
      <c r="E40" s="3">
        <f t="shared" si="2"/>
        <v>0.33610627813438543</v>
      </c>
      <c r="F40" s="3">
        <f t="shared" si="0"/>
        <v>0.64811886847764066</v>
      </c>
      <c r="G40" s="8">
        <f t="shared" si="3"/>
        <v>0.86337072998600894</v>
      </c>
      <c r="H40" s="80">
        <f t="shared" si="4"/>
        <v>10.274111686833507</v>
      </c>
      <c r="I40" s="77">
        <f t="shared" si="5"/>
        <v>16.451776626332986</v>
      </c>
      <c r="J40" s="73">
        <f t="shared" si="6"/>
        <v>0.55535738847748684</v>
      </c>
    </row>
    <row r="41" spans="2:10" x14ac:dyDescent="0.2">
      <c r="B41" s="7">
        <f t="shared" si="7"/>
        <v>42</v>
      </c>
      <c r="C41" s="2">
        <f t="shared" si="1"/>
        <v>35</v>
      </c>
      <c r="D41" s="172">
        <f t="shared" si="1"/>
        <v>11.9</v>
      </c>
      <c r="E41" s="3">
        <f t="shared" si="2"/>
        <v>0.33610627813438543</v>
      </c>
      <c r="F41" s="3">
        <f t="shared" si="0"/>
        <v>0.68702316749353343</v>
      </c>
      <c r="G41" s="8">
        <f t="shared" si="3"/>
        <v>0.96970041268516416</v>
      </c>
      <c r="H41" s="80">
        <f t="shared" si="4"/>
        <v>11.539434910953453</v>
      </c>
      <c r="I41" s="77">
        <f t="shared" si="5"/>
        <v>18.921130178093094</v>
      </c>
      <c r="J41" s="73">
        <f t="shared" si="6"/>
        <v>0.54949690052159306</v>
      </c>
    </row>
    <row r="42" spans="2:10" x14ac:dyDescent="0.2">
      <c r="B42" s="7">
        <f t="shared" si="7"/>
        <v>47</v>
      </c>
      <c r="C42" s="2">
        <f t="shared" si="1"/>
        <v>35</v>
      </c>
      <c r="D42" s="172">
        <f t="shared" si="1"/>
        <v>11.9</v>
      </c>
      <c r="E42" s="3">
        <f t="shared" si="2"/>
        <v>0.33610627813438543</v>
      </c>
      <c r="F42" s="3">
        <f t="shared" si="0"/>
        <v>0.75738174899367261</v>
      </c>
      <c r="G42" s="8">
        <f t="shared" si="3"/>
        <v>1.0648193960800347</v>
      </c>
      <c r="H42" s="80">
        <f t="shared" si="4"/>
        <v>12.671350813352413</v>
      </c>
      <c r="I42" s="77">
        <f t="shared" si="5"/>
        <v>21.657298373295173</v>
      </c>
      <c r="J42" s="73">
        <f t="shared" si="6"/>
        <v>0.53920641758946442</v>
      </c>
    </row>
    <row r="43" spans="2:10" x14ac:dyDescent="0.2">
      <c r="B43" s="7">
        <f t="shared" si="7"/>
        <v>52</v>
      </c>
      <c r="C43" s="2">
        <f t="shared" si="1"/>
        <v>35</v>
      </c>
      <c r="D43" s="172">
        <f t="shared" si="1"/>
        <v>11.9</v>
      </c>
      <c r="E43" s="3">
        <f t="shared" si="2"/>
        <v>0.33610627813438543</v>
      </c>
      <c r="F43" s="3">
        <f t="shared" si="0"/>
        <v>0.88462552708332431</v>
      </c>
      <c r="G43" s="8">
        <f t="shared" si="3"/>
        <v>1.1395052523400369</v>
      </c>
      <c r="H43" s="80">
        <f t="shared" si="4"/>
        <v>13.560112502846438</v>
      </c>
      <c r="I43" s="77">
        <f t="shared" si="5"/>
        <v>24.879774994307123</v>
      </c>
      <c r="J43" s="73">
        <f t="shared" si="6"/>
        <v>0.52154278857101688</v>
      </c>
    </row>
    <row r="44" spans="2:10" x14ac:dyDescent="0.2">
      <c r="B44" s="7">
        <f t="shared" si="7"/>
        <v>57</v>
      </c>
      <c r="C44" s="2">
        <f t="shared" si="1"/>
        <v>35</v>
      </c>
      <c r="D44" s="172">
        <f t="shared" si="1"/>
        <v>11.9</v>
      </c>
      <c r="E44" s="3">
        <f t="shared" si="2"/>
        <v>0.33610627813438543</v>
      </c>
      <c r="F44" s="3">
        <f t="shared" si="0"/>
        <v>1.1147464123728672</v>
      </c>
      <c r="G44" s="8">
        <f t="shared" si="3"/>
        <v>1.1792118404598662</v>
      </c>
      <c r="H44" s="80">
        <f t="shared" si="4"/>
        <v>14.032620901472407</v>
      </c>
      <c r="I44" s="77">
        <f t="shared" si="5"/>
        <v>28.934758197055185</v>
      </c>
      <c r="J44" s="73">
        <f t="shared" si="6"/>
        <v>0.49237266320955814</v>
      </c>
    </row>
    <row r="45" spans="2:10" x14ac:dyDescent="0.2">
      <c r="B45" s="7">
        <f t="shared" si="7"/>
        <v>62</v>
      </c>
      <c r="C45" s="2">
        <f t="shared" si="1"/>
        <v>35</v>
      </c>
      <c r="D45" s="172">
        <f t="shared" si="1"/>
        <v>11.9</v>
      </c>
      <c r="E45" s="3">
        <f t="shared" ref="E45:E56" si="8">IF(C45&lt;5,0,IF(C45&gt;60,NA(),0.566*(1+1110*EXP(-1*0.187*C45))^(1/(1-2.83))))</f>
        <v>0.33610627813438543</v>
      </c>
      <c r="F45" s="3">
        <f t="shared" si="0"/>
        <v>1.5309209604842289</v>
      </c>
      <c r="G45" s="8">
        <f t="shared" si="3"/>
        <v>1.16482854118488</v>
      </c>
      <c r="H45" s="80">
        <f t="shared" si="4"/>
        <v>13.861459640100072</v>
      </c>
      <c r="I45" s="77">
        <f t="shared" si="5"/>
        <v>34.277080719799855</v>
      </c>
      <c r="J45" s="73">
        <f t="shared" si="6"/>
        <v>0.44714385935806683</v>
      </c>
    </row>
    <row r="46" spans="2:10" x14ac:dyDescent="0.2">
      <c r="B46" s="7">
        <f t="shared" si="7"/>
        <v>67</v>
      </c>
      <c r="C46" s="2">
        <f t="shared" si="1"/>
        <v>35</v>
      </c>
      <c r="D46" s="172">
        <f t="shared" si="1"/>
        <v>11.9</v>
      </c>
      <c r="E46" s="3">
        <f t="shared" si="8"/>
        <v>0.33610627813438543</v>
      </c>
      <c r="F46" s="3">
        <f t="shared" si="0"/>
        <v>2.283574307344816</v>
      </c>
      <c r="G46" s="8">
        <f t="shared" si="3"/>
        <v>1.0794417333320909</v>
      </c>
      <c r="H46" s="80">
        <f t="shared" si="4"/>
        <v>12.845356626651883</v>
      </c>
      <c r="I46" s="77">
        <f t="shared" si="5"/>
        <v>41.30928674669623</v>
      </c>
      <c r="J46" s="73">
        <f t="shared" si="6"/>
        <v>0.3834434813925936</v>
      </c>
    </row>
    <row r="47" spans="2:10" x14ac:dyDescent="0.2">
      <c r="B47" s="7">
        <f t="shared" si="7"/>
        <v>72</v>
      </c>
      <c r="C47" s="2">
        <f t="shared" si="1"/>
        <v>35</v>
      </c>
      <c r="D47" s="172">
        <f t="shared" si="1"/>
        <v>11.9</v>
      </c>
      <c r="E47" s="3">
        <f t="shared" si="8"/>
        <v>0.33610627813438543</v>
      </c>
      <c r="F47" s="3">
        <f t="shared" si="0"/>
        <v>3.6447509172821952</v>
      </c>
      <c r="G47" s="8">
        <f t="shared" si="3"/>
        <v>0.92235979979024485</v>
      </c>
      <c r="H47" s="80">
        <f t="shared" si="4"/>
        <v>10.976081617503914</v>
      </c>
      <c r="I47" s="77">
        <f t="shared" si="5"/>
        <v>50.047836764992169</v>
      </c>
      <c r="J47" s="73">
        <f t="shared" si="6"/>
        <v>0.30489115604177541</v>
      </c>
    </row>
    <row r="48" spans="2:10" x14ac:dyDescent="0.2">
      <c r="B48" s="7">
        <f t="shared" si="7"/>
        <v>32</v>
      </c>
      <c r="C48" s="2">
        <f t="shared" si="1"/>
        <v>35</v>
      </c>
      <c r="D48" s="172">
        <f>'RT&amp;Temp'!D38</f>
        <v>19.899999999999999</v>
      </c>
      <c r="E48" s="3">
        <f t="shared" si="8"/>
        <v>0.33610627813438543</v>
      </c>
      <c r="F48" s="3">
        <f t="shared" si="0"/>
        <v>0.62660700098902433</v>
      </c>
      <c r="G48" s="8">
        <f t="shared" si="3"/>
        <v>0.4891172419954693</v>
      </c>
      <c r="H48" s="80">
        <f t="shared" si="4"/>
        <v>9.7334331157098379</v>
      </c>
      <c r="I48" s="77">
        <f t="shared" si="5"/>
        <v>12.533133768580324</v>
      </c>
      <c r="J48" s="73">
        <f t="shared" si="6"/>
        <v>0.60833956973186487</v>
      </c>
    </row>
    <row r="49" spans="2:10" x14ac:dyDescent="0.2">
      <c r="B49" s="7">
        <f t="shared" si="7"/>
        <v>37</v>
      </c>
      <c r="C49" s="2">
        <f t="shared" si="1"/>
        <v>35</v>
      </c>
      <c r="D49" s="172">
        <f t="shared" si="1"/>
        <v>19.899999999999999</v>
      </c>
      <c r="E49" s="3">
        <f t="shared" si="8"/>
        <v>0.33610627813438543</v>
      </c>
      <c r="F49" s="3">
        <f t="shared" si="0"/>
        <v>0.64811886847764066</v>
      </c>
      <c r="G49" s="8">
        <f t="shared" si="3"/>
        <v>0.56362188623971865</v>
      </c>
      <c r="H49" s="80">
        <f t="shared" si="4"/>
        <v>11.216075536170401</v>
      </c>
      <c r="I49" s="77">
        <f t="shared" si="5"/>
        <v>14.567848927659199</v>
      </c>
      <c r="J49" s="73">
        <f t="shared" si="6"/>
        <v>0.60627435330650814</v>
      </c>
    </row>
    <row r="50" spans="2:10" x14ac:dyDescent="0.2">
      <c r="B50" s="7">
        <f t="shared" si="7"/>
        <v>42</v>
      </c>
      <c r="C50" s="2">
        <f t="shared" si="1"/>
        <v>35</v>
      </c>
      <c r="D50" s="172">
        <f t="shared" si="1"/>
        <v>19.899999999999999</v>
      </c>
      <c r="E50" s="3">
        <f t="shared" si="8"/>
        <v>0.33610627813438543</v>
      </c>
      <c r="F50" s="3">
        <f t="shared" si="0"/>
        <v>0.68702316749353343</v>
      </c>
      <c r="G50" s="8">
        <f t="shared" si="3"/>
        <v>0.63588294887155372</v>
      </c>
      <c r="H50" s="80">
        <f t="shared" si="4"/>
        <v>12.654070682543917</v>
      </c>
      <c r="I50" s="77">
        <f t="shared" si="5"/>
        <v>16.691858634912165</v>
      </c>
      <c r="J50" s="73">
        <f t="shared" si="6"/>
        <v>0.60257479440685324</v>
      </c>
    </row>
    <row r="51" spans="2:10" x14ac:dyDescent="0.2">
      <c r="B51" s="7">
        <f t="shared" si="7"/>
        <v>47</v>
      </c>
      <c r="C51" s="2">
        <f t="shared" si="1"/>
        <v>35</v>
      </c>
      <c r="D51" s="172">
        <f t="shared" si="1"/>
        <v>19.899999999999999</v>
      </c>
      <c r="E51" s="3">
        <f t="shared" si="8"/>
        <v>0.33610627813438543</v>
      </c>
      <c r="F51" s="3">
        <f t="shared" si="0"/>
        <v>0.75738174899367261</v>
      </c>
      <c r="G51" s="8">
        <f t="shared" si="3"/>
        <v>0.70381618946074853</v>
      </c>
      <c r="H51" s="80">
        <f t="shared" si="4"/>
        <v>14.005942170268895</v>
      </c>
      <c r="I51" s="77">
        <f t="shared" si="5"/>
        <v>18.98811565946221</v>
      </c>
      <c r="J51" s="73">
        <f t="shared" si="6"/>
        <v>0.59599753916037856</v>
      </c>
    </row>
    <row r="52" spans="2:10" x14ac:dyDescent="0.2">
      <c r="B52" s="7">
        <f t="shared" si="7"/>
        <v>52</v>
      </c>
      <c r="C52" s="2">
        <f t="shared" si="1"/>
        <v>35</v>
      </c>
      <c r="D52" s="172">
        <f t="shared" si="1"/>
        <v>19.899999999999999</v>
      </c>
      <c r="E52" s="3">
        <f t="shared" si="8"/>
        <v>0.33610627813438543</v>
      </c>
      <c r="F52" s="3">
        <f t="shared" si="0"/>
        <v>0.88462552708332431</v>
      </c>
      <c r="G52" s="8">
        <f t="shared" si="3"/>
        <v>0.76361625668406641</v>
      </c>
      <c r="H52" s="80">
        <f t="shared" si="4"/>
        <v>15.19596350801292</v>
      </c>
      <c r="I52" s="77">
        <f t="shared" si="5"/>
        <v>21.608072983974161</v>
      </c>
      <c r="J52" s="73">
        <f t="shared" si="6"/>
        <v>0.58446013492357385</v>
      </c>
    </row>
    <row r="53" spans="2:10" x14ac:dyDescent="0.2">
      <c r="B53" s="7">
        <f t="shared" si="7"/>
        <v>57</v>
      </c>
      <c r="C53" s="2">
        <f t="shared" si="1"/>
        <v>35</v>
      </c>
      <c r="D53" s="172">
        <f t="shared" si="1"/>
        <v>19.899999999999999</v>
      </c>
      <c r="E53" s="3">
        <f t="shared" si="8"/>
        <v>0.33610627813438543</v>
      </c>
      <c r="F53" s="3">
        <f t="shared" si="0"/>
        <v>1.1147464123728672</v>
      </c>
      <c r="G53" s="8">
        <f t="shared" si="3"/>
        <v>0.80872791826025814</v>
      </c>
      <c r="H53" s="80">
        <f t="shared" si="4"/>
        <v>16.093685573379137</v>
      </c>
      <c r="I53" s="77">
        <f t="shared" si="5"/>
        <v>24.812628853241726</v>
      </c>
      <c r="J53" s="73">
        <f t="shared" si="6"/>
        <v>0.56469072187295222</v>
      </c>
    </row>
    <row r="54" spans="2:10" x14ac:dyDescent="0.2">
      <c r="B54" s="7">
        <f t="shared" si="7"/>
        <v>62</v>
      </c>
      <c r="C54" s="2">
        <f t="shared" si="1"/>
        <v>35</v>
      </c>
      <c r="D54" s="172">
        <f t="shared" si="1"/>
        <v>19.899999999999999</v>
      </c>
      <c r="E54" s="3">
        <f t="shared" si="8"/>
        <v>0.33610627813438543</v>
      </c>
      <c r="F54" s="3">
        <f t="shared" si="0"/>
        <v>1.5309209604842289</v>
      </c>
      <c r="G54" s="8">
        <f t="shared" si="3"/>
        <v>0.82895920761735598</v>
      </c>
      <c r="H54" s="80">
        <f t="shared" si="4"/>
        <v>16.496288231585382</v>
      </c>
      <c r="I54" s="77">
        <f t="shared" si="5"/>
        <v>29.007423536829236</v>
      </c>
      <c r="J54" s="73">
        <f t="shared" si="6"/>
        <v>0.53213833005114131</v>
      </c>
    </row>
    <row r="55" spans="2:10" x14ac:dyDescent="0.2">
      <c r="B55" s="7">
        <f t="shared" si="7"/>
        <v>67</v>
      </c>
      <c r="C55" s="2">
        <f t="shared" si="1"/>
        <v>35</v>
      </c>
      <c r="D55" s="172">
        <f t="shared" si="1"/>
        <v>19.899999999999999</v>
      </c>
      <c r="E55" s="3">
        <f t="shared" si="8"/>
        <v>0.33610627813438543</v>
      </c>
      <c r="F55" s="3">
        <f t="shared" si="0"/>
        <v>2.283574307344816</v>
      </c>
      <c r="G55" s="8">
        <f t="shared" si="3"/>
        <v>0.81123631902312932</v>
      </c>
      <c r="H55" s="80">
        <f t="shared" si="4"/>
        <v>16.143602748560273</v>
      </c>
      <c r="I55" s="77">
        <f t="shared" si="5"/>
        <v>34.712794502879454</v>
      </c>
      <c r="J55" s="73">
        <f t="shared" si="6"/>
        <v>0.4818985895092619</v>
      </c>
    </row>
    <row r="56" spans="2:10" ht="13.5" thickBot="1" x14ac:dyDescent="0.25">
      <c r="B56" s="9">
        <f t="shared" si="7"/>
        <v>72</v>
      </c>
      <c r="C56" s="10">
        <f t="shared" si="1"/>
        <v>35</v>
      </c>
      <c r="D56" s="173">
        <f t="shared" si="1"/>
        <v>19.899999999999999</v>
      </c>
      <c r="E56" s="11">
        <f t="shared" si="8"/>
        <v>0.33610627813438543</v>
      </c>
      <c r="F56" s="11">
        <f t="shared" si="0"/>
        <v>3.6447509172821952</v>
      </c>
      <c r="G56" s="13">
        <f t="shared" si="3"/>
        <v>0.74463525569636935</v>
      </c>
      <c r="H56" s="81">
        <f t="shared" si="4"/>
        <v>14.818241588357749</v>
      </c>
      <c r="I56" s="77">
        <f t="shared" si="5"/>
        <v>42.363516823284499</v>
      </c>
      <c r="J56" s="74">
        <f t="shared" si="6"/>
        <v>0.4116178218988264</v>
      </c>
    </row>
  </sheetData>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3" bottom="0.5" header="0.14000000000000001" footer="0.19"/>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4106" r:id="rId5"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4107" r:id="rId6"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4108" r:id="rId7" name="Drop Down 12">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56"/>
  <sheetViews>
    <sheetView zoomScale="95" workbookViewId="0">
      <selection activeCell="G43" sqref="G43"/>
    </sheetView>
  </sheetViews>
  <sheetFormatPr defaultRowHeight="12.75" x14ac:dyDescent="0.2"/>
  <sheetData>
    <row r="1" spans="1:11" ht="13.5" thickBot="1" x14ac:dyDescent="0.25">
      <c r="A1" s="14" t="s">
        <v>12</v>
      </c>
      <c r="D1" s="211" t="s">
        <v>270</v>
      </c>
      <c r="I1" s="282" t="s">
        <v>202</v>
      </c>
      <c r="J1" s="283"/>
      <c r="K1" s="284"/>
    </row>
    <row r="2" spans="1:11" ht="15" thickBot="1" x14ac:dyDescent="0.25">
      <c r="A2" s="1" t="s">
        <v>13</v>
      </c>
      <c r="B2" t="s">
        <v>14</v>
      </c>
      <c r="C2" t="s">
        <v>15</v>
      </c>
      <c r="D2" t="s">
        <v>16</v>
      </c>
      <c r="E2" t="s">
        <v>17</v>
      </c>
      <c r="F2" t="s">
        <v>18</v>
      </c>
      <c r="G2" t="s">
        <v>19</v>
      </c>
    </row>
    <row r="3" spans="1:11" ht="15" customHeight="1" thickBot="1" x14ac:dyDescent="0.25">
      <c r="A3" t="s">
        <v>20</v>
      </c>
      <c r="B3" s="70">
        <f>Calculator!B48</f>
        <v>52</v>
      </c>
      <c r="C3" s="68"/>
      <c r="D3" s="52"/>
      <c r="E3" s="68"/>
      <c r="F3" s="56">
        <f>Calculator!B45</f>
        <v>11.9</v>
      </c>
      <c r="I3" s="282" t="s">
        <v>233</v>
      </c>
      <c r="J3" s="283"/>
      <c r="K3" s="284"/>
    </row>
    <row r="4" spans="1:11" ht="15" customHeight="1" x14ac:dyDescent="0.2">
      <c r="A4" t="s">
        <v>21</v>
      </c>
      <c r="B4" s="52"/>
      <c r="C4" s="52"/>
      <c r="D4" s="52"/>
      <c r="E4" s="52"/>
      <c r="F4" s="52"/>
    </row>
    <row r="25" spans="1:10" x14ac:dyDescent="0.2">
      <c r="E25" s="16" t="s">
        <v>22</v>
      </c>
      <c r="F25" s="17">
        <f>'Temp&amp;RT'!F25</f>
        <v>0.337675</v>
      </c>
      <c r="G25" s="17" t="str">
        <f>'Temp&amp;RT'!G25</f>
        <v xml:space="preserve">For </v>
      </c>
      <c r="H25" s="49" t="str">
        <f>'Temp&amp;RT'!H25</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4">
        <f>'VS&amp;RT'!B30</f>
        <v>32</v>
      </c>
      <c r="C30" s="5">
        <f>'Temp&amp;RT'!C30</f>
        <v>15</v>
      </c>
      <c r="D30" s="5">
        <f>'RT&amp;Temp'!D34</f>
        <v>11.9</v>
      </c>
      <c r="E30" s="76">
        <f>IF(C30&lt;5,0,IF(C30&gt;60,NA(),0.566*(1+1110*EXP(-1*0.187*C30))^(1/(1-2.83))))</f>
        <v>5.6348056051357183E-2</v>
      </c>
      <c r="F30" s="76">
        <f t="shared" ref="F30:F56" si="0">0.6+0.0006*EXP(0.1185*B30)</f>
        <v>0.62660700098902433</v>
      </c>
      <c r="G30" s="8" t="str">
        <f>IF($D30&lt;1/$E30,"WshOut",$F$25*B30/D30*(1-F30/(E30*D30-1+F30)))</f>
        <v>WshOut</v>
      </c>
      <c r="H30" s="80">
        <f>IF($D30&lt;1/$E30,0,G30*D30)</f>
        <v>0</v>
      </c>
      <c r="I30" s="77">
        <f>B30-H30/0.5</f>
        <v>32</v>
      </c>
      <c r="J30" s="78">
        <f>(B30-I30)/B30</f>
        <v>0</v>
      </c>
    </row>
    <row r="31" spans="1:10" x14ac:dyDescent="0.2">
      <c r="B31" s="7">
        <f>B30</f>
        <v>32</v>
      </c>
      <c r="C31" s="2">
        <f>'Temp&amp;RT'!C31</f>
        <v>20</v>
      </c>
      <c r="D31" s="2">
        <f t="shared" ref="D31:D56" si="1">D30</f>
        <v>11.9</v>
      </c>
      <c r="E31" s="3">
        <f t="shared" ref="E31:E44" si="2">IF(C31&lt;5,0,IF(C31&gt;60,NA(),0.566*(1+1110*EXP(-1*0.187*C31))^(1/(1-2.83))))</f>
        <v>9.2778192724252737E-2</v>
      </c>
      <c r="F31" s="3">
        <f t="shared" si="0"/>
        <v>0.62660700098902433</v>
      </c>
      <c r="G31" s="8">
        <f t="shared" ref="G31:G56" si="3">IF($D31&lt;1/$E31,"WshOut",$F$25*B31/D31*(1-F31/(E31*D31-1+F31)))</f>
        <v>0.12932069180443378</v>
      </c>
      <c r="H31" s="80">
        <f t="shared" ref="H31:H56" si="4">IF($D31&lt;1/$E31,0,G31*D31)</f>
        <v>1.5389162324727621</v>
      </c>
      <c r="I31" s="77">
        <f t="shared" ref="I31:I56" si="5">B31-H31/0.5</f>
        <v>28.922167535054477</v>
      </c>
      <c r="J31" s="73">
        <f t="shared" ref="J31:J56" si="6">(B31-I31)/B31</f>
        <v>9.618226452954759E-2</v>
      </c>
    </row>
    <row r="32" spans="1:10" x14ac:dyDescent="0.2">
      <c r="B32" s="7">
        <f>B31</f>
        <v>32</v>
      </c>
      <c r="C32" s="2">
        <f>'Temp&amp;RT'!C32</f>
        <v>25</v>
      </c>
      <c r="D32" s="2">
        <f t="shared" si="1"/>
        <v>11.9</v>
      </c>
      <c r="E32" s="3">
        <f t="shared" si="2"/>
        <v>0.15006799913832075</v>
      </c>
      <c r="F32" s="3">
        <f t="shared" si="0"/>
        <v>0.62660700098902433</v>
      </c>
      <c r="G32" s="8">
        <f t="shared" si="3"/>
        <v>0.50519185685086476</v>
      </c>
      <c r="H32" s="80">
        <f t="shared" si="4"/>
        <v>6.0117830965252912</v>
      </c>
      <c r="I32" s="77">
        <f t="shared" si="5"/>
        <v>19.976433806949416</v>
      </c>
      <c r="J32" s="73">
        <f t="shared" si="6"/>
        <v>0.37573644353283076</v>
      </c>
    </row>
    <row r="33" spans="2:10" x14ac:dyDescent="0.2">
      <c r="B33" s="7">
        <f>B32</f>
        <v>32</v>
      </c>
      <c r="C33" s="2">
        <f>'Temp&amp;RT'!C33</f>
        <v>30</v>
      </c>
      <c r="D33" s="2">
        <f t="shared" si="1"/>
        <v>11.9</v>
      </c>
      <c r="E33" s="3">
        <f t="shared" si="2"/>
        <v>0.23326908223852505</v>
      </c>
      <c r="F33" s="3">
        <f t="shared" si="0"/>
        <v>0.62660700098902433</v>
      </c>
      <c r="G33" s="8">
        <f t="shared" si="3"/>
        <v>0.6712061133360091</v>
      </c>
      <c r="H33" s="80">
        <f t="shared" si="4"/>
        <v>7.987352748698509</v>
      </c>
      <c r="I33" s="77">
        <f t="shared" si="5"/>
        <v>16.025294502602982</v>
      </c>
      <c r="J33" s="73">
        <f t="shared" si="6"/>
        <v>0.49920954679365681</v>
      </c>
    </row>
    <row r="34" spans="2:10" x14ac:dyDescent="0.2">
      <c r="B34" s="7">
        <f t="shared" ref="B34:B56" si="7">B33</f>
        <v>32</v>
      </c>
      <c r="C34" s="2">
        <f>'Temp&amp;RT'!C34</f>
        <v>35</v>
      </c>
      <c r="D34" s="2">
        <f t="shared" si="1"/>
        <v>11.9</v>
      </c>
      <c r="E34" s="3">
        <f t="shared" si="2"/>
        <v>0.33610627813438543</v>
      </c>
      <c r="F34" s="3">
        <f t="shared" si="0"/>
        <v>0.62660700098902433</v>
      </c>
      <c r="G34" s="8">
        <f t="shared" si="3"/>
        <v>0.75112859785443087</v>
      </c>
      <c r="H34" s="80">
        <f t="shared" si="4"/>
        <v>8.9384303144677268</v>
      </c>
      <c r="I34" s="77">
        <f t="shared" si="5"/>
        <v>14.123139371064546</v>
      </c>
      <c r="J34" s="73">
        <f t="shared" si="6"/>
        <v>0.55865189465423293</v>
      </c>
    </row>
    <row r="35" spans="2:10" x14ac:dyDescent="0.2">
      <c r="B35" s="7">
        <f t="shared" si="7"/>
        <v>32</v>
      </c>
      <c r="C35" s="2">
        <f>'Temp&amp;RT'!C35</f>
        <v>40</v>
      </c>
      <c r="D35" s="2">
        <f t="shared" si="1"/>
        <v>11.9</v>
      </c>
      <c r="E35" s="3">
        <f t="shared" si="2"/>
        <v>0.43391281694873673</v>
      </c>
      <c r="F35" s="3">
        <f t="shared" si="0"/>
        <v>0.62660700098902433</v>
      </c>
      <c r="G35" s="8">
        <f t="shared" si="3"/>
        <v>0.78925280274036946</v>
      </c>
      <c r="H35" s="80">
        <f t="shared" si="4"/>
        <v>9.3921083526103963</v>
      </c>
      <c r="I35" s="77">
        <f t="shared" si="5"/>
        <v>13.215783294779207</v>
      </c>
      <c r="J35" s="73">
        <f t="shared" si="6"/>
        <v>0.58700677203814977</v>
      </c>
    </row>
    <row r="36" spans="2:10" x14ac:dyDescent="0.2">
      <c r="B36" s="7">
        <f t="shared" si="7"/>
        <v>32</v>
      </c>
      <c r="C36" s="2">
        <f>'Temp&amp;RT'!C36</f>
        <v>45</v>
      </c>
      <c r="D36" s="2">
        <f t="shared" si="1"/>
        <v>11.9</v>
      </c>
      <c r="E36" s="3">
        <f t="shared" si="2"/>
        <v>0.50192909834520427</v>
      </c>
      <c r="F36" s="3">
        <f t="shared" si="0"/>
        <v>0.62660700098902433</v>
      </c>
      <c r="G36" s="8">
        <f t="shared" si="3"/>
        <v>0.80642207844678349</v>
      </c>
      <c r="H36" s="80">
        <f t="shared" si="4"/>
        <v>9.5964227335167234</v>
      </c>
      <c r="I36" s="77">
        <f t="shared" si="5"/>
        <v>12.807154532966553</v>
      </c>
      <c r="J36" s="73">
        <f t="shared" si="6"/>
        <v>0.59977642084479521</v>
      </c>
    </row>
    <row r="37" spans="2:10" x14ac:dyDescent="0.2">
      <c r="B37" s="7">
        <f t="shared" si="7"/>
        <v>32</v>
      </c>
      <c r="C37" s="2">
        <f>'Temp&amp;RT'!C37</f>
        <v>50</v>
      </c>
      <c r="D37" s="2">
        <f t="shared" si="1"/>
        <v>11.9</v>
      </c>
      <c r="E37" s="3">
        <f t="shared" si="2"/>
        <v>0.53820403085336554</v>
      </c>
      <c r="F37" s="3">
        <f t="shared" si="0"/>
        <v>0.62660700098902433</v>
      </c>
      <c r="G37" s="8">
        <f t="shared" si="3"/>
        <v>0.81369468910840748</v>
      </c>
      <c r="H37" s="80">
        <f t="shared" si="4"/>
        <v>9.6829668003900498</v>
      </c>
      <c r="I37" s="77">
        <f t="shared" si="5"/>
        <v>12.6340663992199</v>
      </c>
      <c r="J37" s="73">
        <f t="shared" si="6"/>
        <v>0.60518542502437811</v>
      </c>
    </row>
    <row r="38" spans="2:10" x14ac:dyDescent="0.2">
      <c r="B38" s="7">
        <f t="shared" si="7"/>
        <v>32</v>
      </c>
      <c r="C38" s="2">
        <f>'Temp&amp;RT'!C38</f>
        <v>55</v>
      </c>
      <c r="D38" s="2">
        <f t="shared" si="1"/>
        <v>11.9</v>
      </c>
      <c r="E38" s="3">
        <f t="shared" si="2"/>
        <v>0.55461164043194688</v>
      </c>
      <c r="F38" s="3">
        <f t="shared" si="0"/>
        <v>0.62660700098902433</v>
      </c>
      <c r="G38" s="8">
        <f t="shared" si="3"/>
        <v>0.81665297547616489</v>
      </c>
      <c r="H38" s="80">
        <f t="shared" si="4"/>
        <v>9.7181704081663618</v>
      </c>
      <c r="I38" s="77">
        <f t="shared" si="5"/>
        <v>12.563659183667276</v>
      </c>
      <c r="J38" s="73">
        <f t="shared" si="6"/>
        <v>0.60738565051039761</v>
      </c>
    </row>
    <row r="39" spans="2:10" x14ac:dyDescent="0.2">
      <c r="B39" s="7">
        <f>'VS&amp;RT'!B34</f>
        <v>52</v>
      </c>
      <c r="C39" s="2">
        <f>'Temp&amp;RT'!C39</f>
        <v>15</v>
      </c>
      <c r="D39" s="2">
        <f t="shared" si="1"/>
        <v>11.9</v>
      </c>
      <c r="E39" s="3">
        <f t="shared" si="2"/>
        <v>5.6348056051357183E-2</v>
      </c>
      <c r="F39" s="3">
        <f t="shared" si="0"/>
        <v>0.88462552708332431</v>
      </c>
      <c r="G39" s="8" t="str">
        <f t="shared" si="3"/>
        <v>WshOut</v>
      </c>
      <c r="H39" s="80">
        <f t="shared" si="4"/>
        <v>0</v>
      </c>
      <c r="I39" s="77">
        <f t="shared" si="5"/>
        <v>52</v>
      </c>
      <c r="J39" s="73">
        <f t="shared" si="6"/>
        <v>0</v>
      </c>
    </row>
    <row r="40" spans="2:10" x14ac:dyDescent="0.2">
      <c r="B40" s="7">
        <f t="shared" si="7"/>
        <v>52</v>
      </c>
      <c r="C40" s="2">
        <f>'Temp&amp;RT'!C40</f>
        <v>20</v>
      </c>
      <c r="D40" s="2">
        <f t="shared" si="1"/>
        <v>11.9</v>
      </c>
      <c r="E40" s="3">
        <f t="shared" si="2"/>
        <v>9.2778192724252737E-2</v>
      </c>
      <c r="F40" s="3">
        <f t="shared" si="0"/>
        <v>0.88462552708332431</v>
      </c>
      <c r="G40" s="8">
        <f t="shared" si="3"/>
        <v>0.15530404884023205</v>
      </c>
      <c r="H40" s="80">
        <f t="shared" si="4"/>
        <v>1.8481181811987615</v>
      </c>
      <c r="I40" s="77">
        <f t="shared" si="5"/>
        <v>48.303763637602479</v>
      </c>
      <c r="J40" s="73">
        <f t="shared" si="6"/>
        <v>7.108146850764463E-2</v>
      </c>
    </row>
    <row r="41" spans="2:10" x14ac:dyDescent="0.2">
      <c r="B41" s="7">
        <f t="shared" si="7"/>
        <v>52</v>
      </c>
      <c r="C41" s="2">
        <f>'Temp&amp;RT'!C41</f>
        <v>25</v>
      </c>
      <c r="D41" s="2">
        <f t="shared" si="1"/>
        <v>11.9</v>
      </c>
      <c r="E41" s="3">
        <f t="shared" si="2"/>
        <v>0.15006799913832075</v>
      </c>
      <c r="F41" s="3">
        <f t="shared" si="0"/>
        <v>0.88462552708332431</v>
      </c>
      <c r="G41" s="8">
        <f t="shared" si="3"/>
        <v>0.6941333116099313</v>
      </c>
      <c r="H41" s="80">
        <f t="shared" si="4"/>
        <v>8.2601864081581819</v>
      </c>
      <c r="I41" s="77">
        <f t="shared" si="5"/>
        <v>35.479627183683633</v>
      </c>
      <c r="J41" s="73">
        <f t="shared" si="6"/>
        <v>0.31769947723685321</v>
      </c>
    </row>
    <row r="42" spans="2:10" x14ac:dyDescent="0.2">
      <c r="B42" s="7">
        <f t="shared" si="7"/>
        <v>52</v>
      </c>
      <c r="C42" s="2">
        <f>'Temp&amp;RT'!C42</f>
        <v>30</v>
      </c>
      <c r="D42" s="2">
        <f t="shared" si="1"/>
        <v>11.9</v>
      </c>
      <c r="E42" s="3">
        <f t="shared" si="2"/>
        <v>0.23326908223852505</v>
      </c>
      <c r="F42" s="3">
        <f t="shared" si="0"/>
        <v>0.88462552708332431</v>
      </c>
      <c r="G42" s="8">
        <f t="shared" si="3"/>
        <v>0.98493265563198262</v>
      </c>
      <c r="H42" s="80">
        <f t="shared" si="4"/>
        <v>11.720698602020594</v>
      </c>
      <c r="I42" s="77">
        <f t="shared" si="5"/>
        <v>28.558602795958812</v>
      </c>
      <c r="J42" s="73">
        <f t="shared" si="6"/>
        <v>0.45079610007771515</v>
      </c>
    </row>
    <row r="43" spans="2:10" x14ac:dyDescent="0.2">
      <c r="B43" s="7">
        <f t="shared" si="7"/>
        <v>52</v>
      </c>
      <c r="C43" s="2">
        <f>'Temp&amp;RT'!C43</f>
        <v>35</v>
      </c>
      <c r="D43" s="2">
        <f t="shared" si="1"/>
        <v>11.9</v>
      </c>
      <c r="E43" s="3">
        <f t="shared" si="2"/>
        <v>0.33610627813438543</v>
      </c>
      <c r="F43" s="3">
        <f t="shared" si="0"/>
        <v>0.88462552708332431</v>
      </c>
      <c r="G43" s="8">
        <f t="shared" si="3"/>
        <v>1.1395052523400369</v>
      </c>
      <c r="H43" s="80">
        <f t="shared" si="4"/>
        <v>13.560112502846438</v>
      </c>
      <c r="I43" s="77">
        <f t="shared" si="5"/>
        <v>24.879774994307123</v>
      </c>
      <c r="J43" s="73">
        <f t="shared" si="6"/>
        <v>0.52154278857101688</v>
      </c>
    </row>
    <row r="44" spans="2:10" x14ac:dyDescent="0.2">
      <c r="B44" s="7">
        <f t="shared" si="7"/>
        <v>52</v>
      </c>
      <c r="C44" s="2">
        <f>'Temp&amp;RT'!C44</f>
        <v>40</v>
      </c>
      <c r="D44" s="2">
        <f t="shared" si="1"/>
        <v>11.9</v>
      </c>
      <c r="E44" s="3">
        <f t="shared" si="2"/>
        <v>0.43391281694873673</v>
      </c>
      <c r="F44" s="3">
        <f t="shared" si="0"/>
        <v>0.88462552708332431</v>
      </c>
      <c r="G44" s="8">
        <f t="shared" si="3"/>
        <v>1.2169839678869943</v>
      </c>
      <c r="H44" s="80">
        <f t="shared" si="4"/>
        <v>14.482109217855232</v>
      </c>
      <c r="I44" s="77">
        <f t="shared" si="5"/>
        <v>23.035781564289536</v>
      </c>
      <c r="J44" s="73">
        <f t="shared" si="6"/>
        <v>0.55700420068673973</v>
      </c>
    </row>
    <row r="45" spans="2:10" x14ac:dyDescent="0.2">
      <c r="B45" s="7">
        <f t="shared" si="7"/>
        <v>52</v>
      </c>
      <c r="C45" s="2">
        <f>'Temp&amp;RT'!C45</f>
        <v>45</v>
      </c>
      <c r="D45" s="2">
        <f t="shared" si="1"/>
        <v>11.9</v>
      </c>
      <c r="E45" s="3">
        <f t="shared" ref="E45:E56" si="8">IF(C45&lt;5,0,IF(C45&gt;60,NA(),0.566*(1+1110*EXP(-1*0.187*C45))^(1/(1-2.83))))</f>
        <v>0.50192909834520427</v>
      </c>
      <c r="F45" s="3">
        <f t="shared" si="0"/>
        <v>0.88462552708332431</v>
      </c>
      <c r="G45" s="8">
        <f t="shared" si="3"/>
        <v>1.2527129560824137</v>
      </c>
      <c r="H45" s="80">
        <f t="shared" si="4"/>
        <v>14.907284177380724</v>
      </c>
      <c r="I45" s="77">
        <f t="shared" si="5"/>
        <v>22.185431645238552</v>
      </c>
      <c r="J45" s="73">
        <f t="shared" si="6"/>
        <v>0.5733570837454125</v>
      </c>
    </row>
    <row r="46" spans="2:10" x14ac:dyDescent="0.2">
      <c r="B46" s="7">
        <f t="shared" si="7"/>
        <v>52</v>
      </c>
      <c r="C46" s="2">
        <f>'Temp&amp;RT'!C46</f>
        <v>50</v>
      </c>
      <c r="D46" s="2">
        <f t="shared" si="1"/>
        <v>11.9</v>
      </c>
      <c r="E46" s="3">
        <f t="shared" si="8"/>
        <v>0.53820403085336554</v>
      </c>
      <c r="F46" s="3">
        <f t="shared" si="0"/>
        <v>0.88462552708332431</v>
      </c>
      <c r="G46" s="8">
        <f t="shared" si="3"/>
        <v>1.2680080050222777</v>
      </c>
      <c r="H46" s="80">
        <f t="shared" si="4"/>
        <v>15.089295259765105</v>
      </c>
      <c r="I46" s="77">
        <f t="shared" si="5"/>
        <v>21.821409480469789</v>
      </c>
      <c r="J46" s="73">
        <f t="shared" si="6"/>
        <v>0.58035750999096558</v>
      </c>
    </row>
    <row r="47" spans="2:10" x14ac:dyDescent="0.2">
      <c r="B47" s="7">
        <f t="shared" si="7"/>
        <v>52</v>
      </c>
      <c r="C47" s="2">
        <f>'Temp&amp;RT'!C47</f>
        <v>55</v>
      </c>
      <c r="D47" s="2">
        <f t="shared" si="1"/>
        <v>11.9</v>
      </c>
      <c r="E47" s="3">
        <f t="shared" si="8"/>
        <v>0.55461164043194688</v>
      </c>
      <c r="F47" s="3">
        <f t="shared" si="0"/>
        <v>0.88462552708332431</v>
      </c>
      <c r="G47" s="8">
        <f t="shared" si="3"/>
        <v>1.2742573020559047</v>
      </c>
      <c r="H47" s="80">
        <f t="shared" si="4"/>
        <v>15.163661894465266</v>
      </c>
      <c r="I47" s="77">
        <f t="shared" si="5"/>
        <v>21.672676211069469</v>
      </c>
      <c r="J47" s="73">
        <f t="shared" si="6"/>
        <v>0.58321776517174095</v>
      </c>
    </row>
    <row r="48" spans="2:10" x14ac:dyDescent="0.2">
      <c r="B48" s="7">
        <f>'VS&amp;RT'!B38</f>
        <v>72</v>
      </c>
      <c r="C48" s="2">
        <f>'Temp&amp;RT'!C48</f>
        <v>15</v>
      </c>
      <c r="D48" s="2">
        <f t="shared" si="1"/>
        <v>11.9</v>
      </c>
      <c r="E48" s="3">
        <f t="shared" si="8"/>
        <v>5.6348056051357183E-2</v>
      </c>
      <c r="F48" s="3">
        <f t="shared" si="0"/>
        <v>3.6447509172821952</v>
      </c>
      <c r="G48" s="8" t="str">
        <f t="shared" si="3"/>
        <v>WshOut</v>
      </c>
      <c r="H48" s="80">
        <f t="shared" si="4"/>
        <v>0</v>
      </c>
      <c r="I48" s="77">
        <f t="shared" si="5"/>
        <v>72</v>
      </c>
      <c r="J48" s="73">
        <f t="shared" si="6"/>
        <v>0</v>
      </c>
    </row>
    <row r="49" spans="2:10" x14ac:dyDescent="0.2">
      <c r="B49" s="7">
        <f t="shared" si="7"/>
        <v>72</v>
      </c>
      <c r="C49" s="2">
        <f>'Temp&amp;RT'!C49</f>
        <v>20</v>
      </c>
      <c r="D49" s="2">
        <f t="shared" si="1"/>
        <v>11.9</v>
      </c>
      <c r="E49" s="3">
        <f t="shared" si="8"/>
        <v>9.2778192724252737E-2</v>
      </c>
      <c r="F49" s="3">
        <f t="shared" si="0"/>
        <v>3.6447509172821952</v>
      </c>
      <c r="G49" s="8">
        <f t="shared" si="3"/>
        <v>5.671223086034681E-2</v>
      </c>
      <c r="H49" s="80">
        <f t="shared" si="4"/>
        <v>0.67487554723812704</v>
      </c>
      <c r="I49" s="77">
        <f t="shared" si="5"/>
        <v>70.650248905523739</v>
      </c>
      <c r="J49" s="73">
        <f t="shared" si="6"/>
        <v>1.8746542978836957E-2</v>
      </c>
    </row>
    <row r="50" spans="2:10" x14ac:dyDescent="0.2">
      <c r="B50" s="7">
        <f t="shared" si="7"/>
        <v>72</v>
      </c>
      <c r="C50" s="2">
        <f>'Temp&amp;RT'!C50</f>
        <v>25</v>
      </c>
      <c r="D50" s="2">
        <f t="shared" si="1"/>
        <v>11.9</v>
      </c>
      <c r="E50" s="3">
        <f t="shared" si="8"/>
        <v>0.15006799913832075</v>
      </c>
      <c r="F50" s="3">
        <f t="shared" si="0"/>
        <v>3.6447509172821952</v>
      </c>
      <c r="G50" s="8">
        <f t="shared" si="3"/>
        <v>0.36236222211532065</v>
      </c>
      <c r="H50" s="80">
        <f t="shared" si="4"/>
        <v>4.3121104431723163</v>
      </c>
      <c r="I50" s="77">
        <f t="shared" si="5"/>
        <v>63.375779113655369</v>
      </c>
      <c r="J50" s="73">
        <f t="shared" si="6"/>
        <v>0.11978084564367543</v>
      </c>
    </row>
    <row r="51" spans="2:10" x14ac:dyDescent="0.2">
      <c r="B51" s="7">
        <f t="shared" si="7"/>
        <v>72</v>
      </c>
      <c r="C51" s="2">
        <f>'Temp&amp;RT'!C51</f>
        <v>30</v>
      </c>
      <c r="D51" s="2">
        <f t="shared" si="1"/>
        <v>11.9</v>
      </c>
      <c r="E51" s="3">
        <f t="shared" si="8"/>
        <v>0.23326908223852505</v>
      </c>
      <c r="F51" s="3">
        <f t="shared" si="0"/>
        <v>3.6447509172821952</v>
      </c>
      <c r="G51" s="8">
        <f t="shared" si="3"/>
        <v>0.66934781866885262</v>
      </c>
      <c r="H51" s="80">
        <f t="shared" si="4"/>
        <v>7.9652390421593466</v>
      </c>
      <c r="I51" s="77">
        <f t="shared" si="5"/>
        <v>56.069521915681307</v>
      </c>
      <c r="J51" s="73">
        <f t="shared" si="6"/>
        <v>0.22125664005998186</v>
      </c>
    </row>
    <row r="52" spans="2:10" x14ac:dyDescent="0.2">
      <c r="B52" s="7">
        <f t="shared" si="7"/>
        <v>72</v>
      </c>
      <c r="C52" s="2">
        <f>'Temp&amp;RT'!C52</f>
        <v>35</v>
      </c>
      <c r="D52" s="2">
        <f t="shared" si="1"/>
        <v>11.9</v>
      </c>
      <c r="E52" s="3">
        <f t="shared" si="8"/>
        <v>0.33610627813438543</v>
      </c>
      <c r="F52" s="3">
        <f t="shared" si="0"/>
        <v>3.6447509172821952</v>
      </c>
      <c r="G52" s="8">
        <f t="shared" si="3"/>
        <v>0.92235979979024485</v>
      </c>
      <c r="H52" s="80">
        <f t="shared" si="4"/>
        <v>10.976081617503914</v>
      </c>
      <c r="I52" s="77">
        <f t="shared" si="5"/>
        <v>50.047836764992169</v>
      </c>
      <c r="J52" s="73">
        <f t="shared" si="6"/>
        <v>0.30489115604177541</v>
      </c>
    </row>
    <row r="53" spans="2:10" x14ac:dyDescent="0.2">
      <c r="B53" s="7">
        <f t="shared" si="7"/>
        <v>72</v>
      </c>
      <c r="C53" s="2">
        <f>'Temp&amp;RT'!C53</f>
        <v>40</v>
      </c>
      <c r="D53" s="2">
        <f t="shared" si="1"/>
        <v>11.9</v>
      </c>
      <c r="E53" s="3">
        <f t="shared" si="8"/>
        <v>0.43391281694873673</v>
      </c>
      <c r="F53" s="3">
        <f t="shared" si="0"/>
        <v>3.6447509172821952</v>
      </c>
      <c r="G53" s="8">
        <f t="shared" si="3"/>
        <v>1.0894123538431488</v>
      </c>
      <c r="H53" s="80">
        <f t="shared" si="4"/>
        <v>12.964007010733472</v>
      </c>
      <c r="I53" s="77">
        <f t="shared" si="5"/>
        <v>46.071985978533057</v>
      </c>
      <c r="J53" s="73">
        <f t="shared" si="6"/>
        <v>0.36011130585370754</v>
      </c>
    </row>
    <row r="54" spans="2:10" x14ac:dyDescent="0.2">
      <c r="B54" s="7">
        <f t="shared" si="7"/>
        <v>72</v>
      </c>
      <c r="C54" s="2">
        <f>'Temp&amp;RT'!C54</f>
        <v>45</v>
      </c>
      <c r="D54" s="2">
        <f t="shared" si="1"/>
        <v>11.9</v>
      </c>
      <c r="E54" s="3">
        <f t="shared" si="8"/>
        <v>0.50192909834520427</v>
      </c>
      <c r="F54" s="3">
        <f t="shared" si="0"/>
        <v>3.6447509172821952</v>
      </c>
      <c r="G54" s="8">
        <f t="shared" si="3"/>
        <v>1.1789824770104207</v>
      </c>
      <c r="H54" s="80">
        <f t="shared" si="4"/>
        <v>14.029891476424007</v>
      </c>
      <c r="I54" s="77">
        <f t="shared" si="5"/>
        <v>43.94021704715199</v>
      </c>
      <c r="J54" s="73">
        <f t="shared" si="6"/>
        <v>0.38971920767844459</v>
      </c>
    </row>
    <row r="55" spans="2:10" x14ac:dyDescent="0.2">
      <c r="B55" s="7">
        <f t="shared" si="7"/>
        <v>72</v>
      </c>
      <c r="C55" s="2">
        <f>'Temp&amp;RT'!C55</f>
        <v>50</v>
      </c>
      <c r="D55" s="2">
        <f t="shared" si="1"/>
        <v>11.9</v>
      </c>
      <c r="E55" s="3">
        <f t="shared" si="8"/>
        <v>0.53820403085336554</v>
      </c>
      <c r="F55" s="3">
        <f t="shared" si="0"/>
        <v>3.6447509172821952</v>
      </c>
      <c r="G55" s="8">
        <f t="shared" si="3"/>
        <v>1.2202012791466967</v>
      </c>
      <c r="H55" s="80">
        <f t="shared" si="4"/>
        <v>14.520395221845691</v>
      </c>
      <c r="I55" s="77">
        <f t="shared" si="5"/>
        <v>42.959209556308622</v>
      </c>
      <c r="J55" s="73">
        <f t="shared" si="6"/>
        <v>0.40334431171793583</v>
      </c>
    </row>
    <row r="56" spans="2:10" ht="13.5" thickBot="1" x14ac:dyDescent="0.25">
      <c r="B56" s="9">
        <f t="shared" si="7"/>
        <v>72</v>
      </c>
      <c r="C56" s="10">
        <f>'Temp&amp;RT'!C56</f>
        <v>55</v>
      </c>
      <c r="D56" s="10">
        <f t="shared" si="1"/>
        <v>11.9</v>
      </c>
      <c r="E56" s="11">
        <f t="shared" si="8"/>
        <v>0.55461164043194688</v>
      </c>
      <c r="F56" s="11">
        <f t="shared" si="0"/>
        <v>3.6447509172821952</v>
      </c>
      <c r="G56" s="13">
        <f t="shared" si="3"/>
        <v>1.2375807397279628</v>
      </c>
      <c r="H56" s="81">
        <f t="shared" si="4"/>
        <v>14.727210802762757</v>
      </c>
      <c r="I56" s="77">
        <f t="shared" si="5"/>
        <v>42.545578394474489</v>
      </c>
      <c r="J56" s="74">
        <f t="shared" si="6"/>
        <v>0.40908918896563207</v>
      </c>
    </row>
  </sheetData>
  <sheetProtection sheet="1" objects="1" scenarios="1"/>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7" bottom="0.47" header="0.16" footer="0.24"/>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6"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6151" r:id="rId5" name="Drop Down 7">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mc:AlternateContent xmlns:mc="http://schemas.openxmlformats.org/markup-compatibility/2006">
          <mc:Choice Requires="x14">
            <control shapeId="6154" r:id="rId6"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6155" r:id="rId7"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56"/>
  <sheetViews>
    <sheetView zoomScale="95" workbookViewId="0"/>
  </sheetViews>
  <sheetFormatPr defaultRowHeight="12.75" x14ac:dyDescent="0.2"/>
  <sheetData>
    <row r="1" spans="1:11" ht="13.5" thickBot="1" x14ac:dyDescent="0.25">
      <c r="A1" s="14" t="s">
        <v>12</v>
      </c>
      <c r="D1" s="211" t="s">
        <v>270</v>
      </c>
      <c r="I1" s="282" t="s">
        <v>202</v>
      </c>
      <c r="J1" s="283"/>
      <c r="K1" s="284"/>
    </row>
    <row r="2" spans="1:11" ht="15" thickBot="1" x14ac:dyDescent="0.25">
      <c r="A2" s="1" t="s">
        <v>13</v>
      </c>
      <c r="B2" t="s">
        <v>14</v>
      </c>
      <c r="C2" t="s">
        <v>15</v>
      </c>
      <c r="D2" t="s">
        <v>16</v>
      </c>
      <c r="E2" t="s">
        <v>17</v>
      </c>
      <c r="F2" t="s">
        <v>18</v>
      </c>
      <c r="G2" t="s">
        <v>19</v>
      </c>
    </row>
    <row r="3" spans="1:11" ht="15" customHeight="1" thickBot="1" x14ac:dyDescent="0.25">
      <c r="A3" t="s">
        <v>20</v>
      </c>
      <c r="B3" s="70">
        <f>'Temp&amp;RT'!B3</f>
        <v>52</v>
      </c>
      <c r="C3" s="68"/>
      <c r="D3" s="52"/>
      <c r="E3" s="68"/>
      <c r="F3" s="56">
        <f>Calculator!B45</f>
        <v>11.9</v>
      </c>
      <c r="I3" s="282" t="s">
        <v>233</v>
      </c>
      <c r="J3" s="283"/>
      <c r="K3" s="284"/>
    </row>
    <row r="4" spans="1:11" ht="15" customHeight="1" x14ac:dyDescent="0.2">
      <c r="A4" t="s">
        <v>21</v>
      </c>
      <c r="B4" s="52"/>
      <c r="C4" s="52"/>
      <c r="D4" s="52"/>
      <c r="E4" s="52"/>
      <c r="F4" s="52"/>
    </row>
    <row r="25" spans="1:10" x14ac:dyDescent="0.2">
      <c r="E25" s="16" t="s">
        <v>22</v>
      </c>
      <c r="F25" s="17">
        <f>'Temp&amp;RT'!F25</f>
        <v>0.337675</v>
      </c>
      <c r="G25" s="17" t="str">
        <f>'Temp&amp;RT'!G25</f>
        <v xml:space="preserve">For </v>
      </c>
      <c r="H25" s="49" t="str">
        <f>'Temp&amp;RT'!H25</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4">
        <f>'Temp&amp;RT'!B30</f>
        <v>52</v>
      </c>
      <c r="C30" s="5">
        <f>'Temp&amp;RT'!C30</f>
        <v>15</v>
      </c>
      <c r="D30" s="5">
        <f>D31-VLOOKUP('Temp&amp;RT'!$F$4,'Temp&amp;RT'!$A$6:$E$11,5)</f>
        <v>3.9000000000000004</v>
      </c>
      <c r="E30" s="76">
        <f>IF(C30&lt;5,0,IF(C30&gt;60,NA(),0.566*(1+1110*EXP(-1*0.187*C30))^(1/(1-2.83))))</f>
        <v>5.6348056051357183E-2</v>
      </c>
      <c r="F30" s="76">
        <f t="shared" ref="F30:F56" si="0">0.6+0.0006*EXP(0.1185*B30)</f>
        <v>0.88462552708332431</v>
      </c>
      <c r="G30" s="8" t="str">
        <f>IF($D30&lt;1/$E30,"WshOut",$F$25*B30/D30*(1-F30/(E30*D30-1+F30)))</f>
        <v>WshOut</v>
      </c>
      <c r="H30" s="80">
        <f>IF($D30&lt;1/$E30,0,G30*D30)</f>
        <v>0</v>
      </c>
      <c r="I30" s="90">
        <f>B30-H30/0.5</f>
        <v>52</v>
      </c>
      <c r="J30" s="91">
        <f>(B30-I30)/B30</f>
        <v>0</v>
      </c>
    </row>
    <row r="31" spans="1:10" x14ac:dyDescent="0.2">
      <c r="B31" s="7">
        <f t="shared" ref="B31:B56" si="1">B30</f>
        <v>52</v>
      </c>
      <c r="C31" s="2">
        <f t="shared" ref="C31:C38" si="2">C30</f>
        <v>15</v>
      </c>
      <c r="D31" s="2">
        <f>D32-VLOOKUP('Temp&amp;RT'!$F$4,'Temp&amp;RT'!$A$6:$E$11,5)</f>
        <v>5.9</v>
      </c>
      <c r="E31" s="3">
        <f t="shared" ref="E31:E44" si="3">IF(C31&lt;5,0,IF(C31&gt;60,NA(),0.566*(1+1110*EXP(-1*0.187*C31))^(1/(1-2.83))))</f>
        <v>5.6348056051357183E-2</v>
      </c>
      <c r="F31" s="3">
        <f t="shared" si="0"/>
        <v>0.88462552708332431</v>
      </c>
      <c r="G31" s="8" t="str">
        <f t="shared" ref="G31:G56" si="4">IF($D31&lt;1/$E31,"WshOut",$F$25*B31/D31*(1-F31/(E31*D31-1+F31)))</f>
        <v>WshOut</v>
      </c>
      <c r="H31" s="80">
        <f t="shared" ref="H31:H56" si="5">IF($D31&lt;1/$E31,0,G31*D31)</f>
        <v>0</v>
      </c>
      <c r="I31" s="92">
        <f t="shared" ref="I31:I56" si="6">B31-H31/0.5</f>
        <v>52</v>
      </c>
      <c r="J31" s="73">
        <f t="shared" ref="J31:J56" si="7">(B31-I31)/B31</f>
        <v>0</v>
      </c>
    </row>
    <row r="32" spans="1:10" x14ac:dyDescent="0.2">
      <c r="B32" s="7">
        <f t="shared" si="1"/>
        <v>52</v>
      </c>
      <c r="C32" s="2">
        <f t="shared" si="2"/>
        <v>15</v>
      </c>
      <c r="D32" s="2">
        <f>D33-VLOOKUP('Temp&amp;RT'!$F$4,'Temp&amp;RT'!$A$6:$E$11,5)</f>
        <v>7.9</v>
      </c>
      <c r="E32" s="3">
        <f t="shared" si="3"/>
        <v>5.6348056051357183E-2</v>
      </c>
      <c r="F32" s="3">
        <f t="shared" si="0"/>
        <v>0.88462552708332431</v>
      </c>
      <c r="G32" s="8" t="str">
        <f t="shared" si="4"/>
        <v>WshOut</v>
      </c>
      <c r="H32" s="80">
        <f t="shared" si="5"/>
        <v>0</v>
      </c>
      <c r="I32" s="92">
        <f t="shared" si="6"/>
        <v>52</v>
      </c>
      <c r="J32" s="73">
        <f t="shared" si="7"/>
        <v>0</v>
      </c>
    </row>
    <row r="33" spans="2:10" x14ac:dyDescent="0.2">
      <c r="B33" s="7">
        <f t="shared" si="1"/>
        <v>52</v>
      </c>
      <c r="C33" s="2">
        <f t="shared" si="2"/>
        <v>15</v>
      </c>
      <c r="D33" s="2">
        <f>D34-VLOOKUP('Temp&amp;RT'!$F$4,'Temp&amp;RT'!$A$6:$E$11,5)</f>
        <v>9.9</v>
      </c>
      <c r="E33" s="3">
        <f t="shared" si="3"/>
        <v>5.6348056051357183E-2</v>
      </c>
      <c r="F33" s="3">
        <f t="shared" si="0"/>
        <v>0.88462552708332431</v>
      </c>
      <c r="G33" s="8" t="str">
        <f t="shared" si="4"/>
        <v>WshOut</v>
      </c>
      <c r="H33" s="80">
        <f t="shared" si="5"/>
        <v>0</v>
      </c>
      <c r="I33" s="92">
        <f t="shared" si="6"/>
        <v>52</v>
      </c>
      <c r="J33" s="73">
        <f t="shared" si="7"/>
        <v>0</v>
      </c>
    </row>
    <row r="34" spans="2:10" x14ac:dyDescent="0.2">
      <c r="B34" s="7">
        <f t="shared" si="1"/>
        <v>52</v>
      </c>
      <c r="C34" s="2">
        <f t="shared" si="2"/>
        <v>15</v>
      </c>
      <c r="D34" s="2">
        <f>F3</f>
        <v>11.9</v>
      </c>
      <c r="E34" s="3">
        <f t="shared" si="3"/>
        <v>5.6348056051357183E-2</v>
      </c>
      <c r="F34" s="3">
        <f t="shared" si="0"/>
        <v>0.88462552708332431</v>
      </c>
      <c r="G34" s="8" t="str">
        <f t="shared" si="4"/>
        <v>WshOut</v>
      </c>
      <c r="H34" s="80">
        <f t="shared" si="5"/>
        <v>0</v>
      </c>
      <c r="I34" s="92">
        <f t="shared" si="6"/>
        <v>52</v>
      </c>
      <c r="J34" s="73">
        <f t="shared" si="7"/>
        <v>0</v>
      </c>
    </row>
    <row r="35" spans="2:10" x14ac:dyDescent="0.2">
      <c r="B35" s="7">
        <f t="shared" si="1"/>
        <v>52</v>
      </c>
      <c r="C35" s="2">
        <f t="shared" si="2"/>
        <v>15</v>
      </c>
      <c r="D35" s="2">
        <f>D34+VLOOKUP('Temp&amp;RT'!$F$4,'Temp&amp;RT'!$A$6:$E$11,5)</f>
        <v>13.9</v>
      </c>
      <c r="E35" s="3">
        <f t="shared" si="3"/>
        <v>5.6348056051357183E-2</v>
      </c>
      <c r="F35" s="3">
        <f t="shared" si="0"/>
        <v>0.88462552708332431</v>
      </c>
      <c r="G35" s="8" t="str">
        <f t="shared" si="4"/>
        <v>WshOut</v>
      </c>
      <c r="H35" s="80">
        <f t="shared" si="5"/>
        <v>0</v>
      </c>
      <c r="I35" s="92">
        <f t="shared" si="6"/>
        <v>52</v>
      </c>
      <c r="J35" s="73">
        <f t="shared" si="7"/>
        <v>0</v>
      </c>
    </row>
    <row r="36" spans="2:10" x14ac:dyDescent="0.2">
      <c r="B36" s="7">
        <f t="shared" si="1"/>
        <v>52</v>
      </c>
      <c r="C36" s="2">
        <f t="shared" si="2"/>
        <v>15</v>
      </c>
      <c r="D36" s="2">
        <f>D35+VLOOKUP('Temp&amp;RT'!$F$4,'Temp&amp;RT'!$A$6:$E$11,5)</f>
        <v>15.9</v>
      </c>
      <c r="E36" s="3">
        <f t="shared" si="3"/>
        <v>5.6348056051357183E-2</v>
      </c>
      <c r="F36" s="3">
        <f t="shared" si="0"/>
        <v>0.88462552708332431</v>
      </c>
      <c r="G36" s="8" t="str">
        <f t="shared" si="4"/>
        <v>WshOut</v>
      </c>
      <c r="H36" s="80">
        <f t="shared" si="5"/>
        <v>0</v>
      </c>
      <c r="I36" s="92">
        <f t="shared" si="6"/>
        <v>52</v>
      </c>
      <c r="J36" s="73">
        <f t="shared" si="7"/>
        <v>0</v>
      </c>
    </row>
    <row r="37" spans="2:10" x14ac:dyDescent="0.2">
      <c r="B37" s="7">
        <f t="shared" si="1"/>
        <v>52</v>
      </c>
      <c r="C37" s="2">
        <f t="shared" si="2"/>
        <v>15</v>
      </c>
      <c r="D37" s="2">
        <f>D36+VLOOKUP('Temp&amp;RT'!$F$4,'Temp&amp;RT'!$A$6:$E$11,5)</f>
        <v>17.899999999999999</v>
      </c>
      <c r="E37" s="3">
        <f t="shared" si="3"/>
        <v>5.6348056051357183E-2</v>
      </c>
      <c r="F37" s="3">
        <f t="shared" si="0"/>
        <v>0.88462552708332431</v>
      </c>
      <c r="G37" s="8">
        <f t="shared" si="4"/>
        <v>9.4775140653172423E-3</v>
      </c>
      <c r="H37" s="80">
        <f t="shared" si="5"/>
        <v>0.16964750176917862</v>
      </c>
      <c r="I37" s="92">
        <f t="shared" si="6"/>
        <v>51.660704996461639</v>
      </c>
      <c r="J37" s="73">
        <f t="shared" si="7"/>
        <v>6.5249039141992426E-3</v>
      </c>
    </row>
    <row r="38" spans="2:10" x14ac:dyDescent="0.2">
      <c r="B38" s="7">
        <f t="shared" si="1"/>
        <v>52</v>
      </c>
      <c r="C38" s="2">
        <f t="shared" si="2"/>
        <v>15</v>
      </c>
      <c r="D38" s="2">
        <f>D37+VLOOKUP('Temp&amp;RT'!$F$4,'Temp&amp;RT'!$A$6:$E$11,5)</f>
        <v>19.899999999999999</v>
      </c>
      <c r="E38" s="3">
        <f t="shared" si="3"/>
        <v>5.6348056051357183E-2</v>
      </c>
      <c r="F38" s="3">
        <f t="shared" si="0"/>
        <v>0.88462552708332431</v>
      </c>
      <c r="G38" s="8">
        <f t="shared" si="4"/>
        <v>0.10642091630739685</v>
      </c>
      <c r="H38" s="80">
        <f t="shared" si="5"/>
        <v>2.1177762345171973</v>
      </c>
      <c r="I38" s="92">
        <f t="shared" si="6"/>
        <v>47.764447530965604</v>
      </c>
      <c r="J38" s="73">
        <f t="shared" si="7"/>
        <v>8.1452932096815298E-2</v>
      </c>
    </row>
    <row r="39" spans="2:10" x14ac:dyDescent="0.2">
      <c r="B39" s="7">
        <f t="shared" si="1"/>
        <v>52</v>
      </c>
      <c r="C39" s="2">
        <f>('Temp&amp;RT'!C39+'Temp&amp;RT'!C47)/2</f>
        <v>35</v>
      </c>
      <c r="D39" s="2">
        <f t="shared" ref="D39:D56" si="8">D30</f>
        <v>3.9000000000000004</v>
      </c>
      <c r="E39" s="3">
        <f t="shared" si="3"/>
        <v>0.33610627813438543</v>
      </c>
      <c r="F39" s="3">
        <f t="shared" si="0"/>
        <v>0.88462552708332431</v>
      </c>
      <c r="G39" s="8">
        <f t="shared" si="4"/>
        <v>1.1706069741971969</v>
      </c>
      <c r="H39" s="80">
        <f t="shared" si="5"/>
        <v>4.5653671993690681</v>
      </c>
      <c r="I39" s="92">
        <f t="shared" si="6"/>
        <v>42.869265601261866</v>
      </c>
      <c r="J39" s="73">
        <f t="shared" si="7"/>
        <v>0.17559104612957951</v>
      </c>
    </row>
    <row r="40" spans="2:10" x14ac:dyDescent="0.2">
      <c r="B40" s="7">
        <f t="shared" si="1"/>
        <v>52</v>
      </c>
      <c r="C40" s="2">
        <f t="shared" ref="C40:C47" si="9">C39</f>
        <v>35</v>
      </c>
      <c r="D40" s="2">
        <f t="shared" si="8"/>
        <v>5.9</v>
      </c>
      <c r="E40" s="3">
        <f t="shared" si="3"/>
        <v>0.33610627813438543</v>
      </c>
      <c r="F40" s="3">
        <f t="shared" si="0"/>
        <v>0.88462552708332431</v>
      </c>
      <c r="G40" s="8">
        <f t="shared" si="4"/>
        <v>1.5664611043451464</v>
      </c>
      <c r="H40" s="80">
        <f t="shared" si="5"/>
        <v>9.2421205156363637</v>
      </c>
      <c r="I40" s="92">
        <f t="shared" si="6"/>
        <v>33.515758968727269</v>
      </c>
      <c r="J40" s="73">
        <f t="shared" si="7"/>
        <v>0.35546617367832173</v>
      </c>
    </row>
    <row r="41" spans="2:10" x14ac:dyDescent="0.2">
      <c r="B41" s="7">
        <f t="shared" si="1"/>
        <v>52</v>
      </c>
      <c r="C41" s="2">
        <f t="shared" si="9"/>
        <v>35</v>
      </c>
      <c r="D41" s="2">
        <f t="shared" si="8"/>
        <v>7.9</v>
      </c>
      <c r="E41" s="3">
        <f t="shared" si="3"/>
        <v>0.33610627813438543</v>
      </c>
      <c r="F41" s="3">
        <f t="shared" si="0"/>
        <v>0.88462552708332431</v>
      </c>
      <c r="G41" s="8">
        <f t="shared" si="4"/>
        <v>1.4485229262960826</v>
      </c>
      <c r="H41" s="80">
        <f t="shared" si="5"/>
        <v>11.443331117739053</v>
      </c>
      <c r="I41" s="92">
        <f t="shared" si="6"/>
        <v>29.113337764521894</v>
      </c>
      <c r="J41" s="73">
        <f t="shared" si="7"/>
        <v>0.44012811991304052</v>
      </c>
    </row>
    <row r="42" spans="2:10" x14ac:dyDescent="0.2">
      <c r="B42" s="7">
        <f t="shared" si="1"/>
        <v>52</v>
      </c>
      <c r="C42" s="2">
        <f t="shared" si="9"/>
        <v>35</v>
      </c>
      <c r="D42" s="2">
        <f t="shared" si="8"/>
        <v>9.9</v>
      </c>
      <c r="E42" s="3">
        <f t="shared" si="3"/>
        <v>0.33610627813438543</v>
      </c>
      <c r="F42" s="3">
        <f t="shared" si="0"/>
        <v>0.88462552708332431</v>
      </c>
      <c r="G42" s="8">
        <f t="shared" si="4"/>
        <v>1.2851735525132941</v>
      </c>
      <c r="H42" s="80">
        <f t="shared" si="5"/>
        <v>12.723218169881612</v>
      </c>
      <c r="I42" s="92">
        <f t="shared" si="6"/>
        <v>26.553563660236776</v>
      </c>
      <c r="J42" s="73">
        <f t="shared" si="7"/>
        <v>0.48935454499544662</v>
      </c>
    </row>
    <row r="43" spans="2:10" x14ac:dyDescent="0.2">
      <c r="B43" s="7">
        <f t="shared" si="1"/>
        <v>52</v>
      </c>
      <c r="C43" s="2">
        <f t="shared" si="9"/>
        <v>35</v>
      </c>
      <c r="D43" s="2">
        <f t="shared" si="8"/>
        <v>11.9</v>
      </c>
      <c r="E43" s="3">
        <f t="shared" si="3"/>
        <v>0.33610627813438543</v>
      </c>
      <c r="F43" s="3">
        <f t="shared" si="0"/>
        <v>0.88462552708332431</v>
      </c>
      <c r="G43" s="8">
        <f t="shared" si="4"/>
        <v>1.1395052523400369</v>
      </c>
      <c r="H43" s="80">
        <f t="shared" si="5"/>
        <v>13.560112502846438</v>
      </c>
      <c r="I43" s="92">
        <f t="shared" si="6"/>
        <v>24.879774994307123</v>
      </c>
      <c r="J43" s="73">
        <f t="shared" si="7"/>
        <v>0.52154278857101688</v>
      </c>
    </row>
    <row r="44" spans="2:10" x14ac:dyDescent="0.2">
      <c r="B44" s="7">
        <f t="shared" si="1"/>
        <v>52</v>
      </c>
      <c r="C44" s="2">
        <f t="shared" si="9"/>
        <v>35</v>
      </c>
      <c r="D44" s="2">
        <f t="shared" si="8"/>
        <v>13.9</v>
      </c>
      <c r="E44" s="3">
        <f t="shared" si="3"/>
        <v>0.33610627813438543</v>
      </c>
      <c r="F44" s="3">
        <f t="shared" si="0"/>
        <v>0.88462552708332431</v>
      </c>
      <c r="G44" s="8">
        <f t="shared" si="4"/>
        <v>1.017991067852493</v>
      </c>
      <c r="H44" s="80">
        <f t="shared" si="5"/>
        <v>14.150075843149654</v>
      </c>
      <c r="I44" s="92">
        <f t="shared" si="6"/>
        <v>23.699848313700691</v>
      </c>
      <c r="J44" s="73">
        <f t="shared" si="7"/>
        <v>0.54423368627498669</v>
      </c>
    </row>
    <row r="45" spans="2:10" x14ac:dyDescent="0.2">
      <c r="B45" s="7">
        <f t="shared" si="1"/>
        <v>52</v>
      </c>
      <c r="C45" s="2">
        <f t="shared" si="9"/>
        <v>35</v>
      </c>
      <c r="D45" s="2">
        <f t="shared" si="8"/>
        <v>15.9</v>
      </c>
      <c r="E45" s="3">
        <f t="shared" ref="E45:E56" si="10">IF(C45&lt;5,0,IF(C45&gt;60,NA(),0.566*(1+1110*EXP(-1*0.187*C45))^(1/(1-2.83))))</f>
        <v>0.33610627813438543</v>
      </c>
      <c r="F45" s="3">
        <f t="shared" si="0"/>
        <v>0.88462552708332431</v>
      </c>
      <c r="G45" s="8">
        <f t="shared" si="4"/>
        <v>0.91750602506443701</v>
      </c>
      <c r="H45" s="80">
        <f t="shared" si="5"/>
        <v>14.588345798524548</v>
      </c>
      <c r="I45" s="92">
        <f t="shared" si="6"/>
        <v>22.823308402950904</v>
      </c>
      <c r="J45" s="73">
        <f t="shared" si="7"/>
        <v>0.56109022302017497</v>
      </c>
    </row>
    <row r="46" spans="2:10" x14ac:dyDescent="0.2">
      <c r="B46" s="7">
        <f t="shared" si="1"/>
        <v>52</v>
      </c>
      <c r="C46" s="2">
        <f t="shared" si="9"/>
        <v>35</v>
      </c>
      <c r="D46" s="2">
        <f t="shared" si="8"/>
        <v>17.899999999999999</v>
      </c>
      <c r="E46" s="3">
        <f t="shared" si="10"/>
        <v>0.33610627813438543</v>
      </c>
      <c r="F46" s="3">
        <f t="shared" si="0"/>
        <v>0.88462552708332431</v>
      </c>
      <c r="G46" s="8">
        <f t="shared" si="4"/>
        <v>0.83389740050594796</v>
      </c>
      <c r="H46" s="80">
        <f t="shared" si="5"/>
        <v>14.926763469056468</v>
      </c>
      <c r="I46" s="92">
        <f t="shared" si="6"/>
        <v>22.146473061887065</v>
      </c>
      <c r="J46" s="73">
        <f t="shared" si="7"/>
        <v>0.57410628727140256</v>
      </c>
    </row>
    <row r="47" spans="2:10" x14ac:dyDescent="0.2">
      <c r="B47" s="7">
        <f t="shared" si="1"/>
        <v>52</v>
      </c>
      <c r="C47" s="2">
        <f t="shared" si="9"/>
        <v>35</v>
      </c>
      <c r="D47" s="2">
        <f t="shared" si="8"/>
        <v>19.899999999999999</v>
      </c>
      <c r="E47" s="3">
        <f t="shared" si="10"/>
        <v>0.33610627813438543</v>
      </c>
      <c r="F47" s="3">
        <f t="shared" si="0"/>
        <v>0.88462552708332431</v>
      </c>
      <c r="G47" s="8">
        <f t="shared" si="4"/>
        <v>0.76361625668406641</v>
      </c>
      <c r="H47" s="80">
        <f t="shared" si="5"/>
        <v>15.19596350801292</v>
      </c>
      <c r="I47" s="92">
        <f t="shared" si="6"/>
        <v>21.608072983974161</v>
      </c>
      <c r="J47" s="73">
        <f t="shared" si="7"/>
        <v>0.58446013492357385</v>
      </c>
    </row>
    <row r="48" spans="2:10" x14ac:dyDescent="0.2">
      <c r="B48" s="7">
        <f t="shared" si="1"/>
        <v>52</v>
      </c>
      <c r="C48" s="2">
        <f>'Temp&amp;RT'!C56</f>
        <v>55</v>
      </c>
      <c r="D48" s="2">
        <f t="shared" si="8"/>
        <v>3.9000000000000004</v>
      </c>
      <c r="E48" s="3">
        <f t="shared" si="10"/>
        <v>0.55461164043194688</v>
      </c>
      <c r="F48" s="3">
        <f t="shared" si="0"/>
        <v>0.88462552708332431</v>
      </c>
      <c r="G48" s="8">
        <f t="shared" si="4"/>
        <v>2.5571986644722302</v>
      </c>
      <c r="H48" s="80">
        <f t="shared" si="5"/>
        <v>9.9730747914416984</v>
      </c>
      <c r="I48" s="92">
        <f t="shared" si="6"/>
        <v>32.053850417116607</v>
      </c>
      <c r="J48" s="73">
        <f t="shared" si="7"/>
        <v>0.3835797996708345</v>
      </c>
    </row>
    <row r="49" spans="2:10" x14ac:dyDescent="0.2">
      <c r="B49" s="7">
        <f t="shared" si="1"/>
        <v>52</v>
      </c>
      <c r="C49" s="2">
        <f t="shared" ref="C49:C56" si="11">C48</f>
        <v>55</v>
      </c>
      <c r="D49" s="2">
        <f t="shared" si="8"/>
        <v>5.9</v>
      </c>
      <c r="E49" s="3">
        <f t="shared" si="10"/>
        <v>0.55461164043194688</v>
      </c>
      <c r="F49" s="3">
        <f t="shared" si="0"/>
        <v>0.88462552708332431</v>
      </c>
      <c r="G49" s="8">
        <f t="shared" si="4"/>
        <v>2.142134230355432</v>
      </c>
      <c r="H49" s="80">
        <f t="shared" si="5"/>
        <v>12.638591959097051</v>
      </c>
      <c r="I49" s="92">
        <f t="shared" si="6"/>
        <v>26.722816081805899</v>
      </c>
      <c r="J49" s="73">
        <f t="shared" si="7"/>
        <v>0.48609969073450193</v>
      </c>
    </row>
    <row r="50" spans="2:10" x14ac:dyDescent="0.2">
      <c r="B50" s="7">
        <f t="shared" si="1"/>
        <v>52</v>
      </c>
      <c r="C50" s="2">
        <f t="shared" si="11"/>
        <v>55</v>
      </c>
      <c r="D50" s="2">
        <f t="shared" si="8"/>
        <v>7.9</v>
      </c>
      <c r="E50" s="3">
        <f t="shared" si="10"/>
        <v>0.55461164043194688</v>
      </c>
      <c r="F50" s="3">
        <f t="shared" si="0"/>
        <v>0.88462552708332431</v>
      </c>
      <c r="G50" s="8">
        <f t="shared" si="4"/>
        <v>1.7617695948130345</v>
      </c>
      <c r="H50" s="80">
        <f t="shared" si="5"/>
        <v>13.917979799022973</v>
      </c>
      <c r="I50" s="92">
        <f t="shared" si="6"/>
        <v>24.164040401954054</v>
      </c>
      <c r="J50" s="73">
        <f t="shared" si="7"/>
        <v>0.53530691534703745</v>
      </c>
    </row>
    <row r="51" spans="2:10" x14ac:dyDescent="0.2">
      <c r="B51" s="7">
        <f t="shared" si="1"/>
        <v>52</v>
      </c>
      <c r="C51" s="2">
        <f t="shared" si="11"/>
        <v>55</v>
      </c>
      <c r="D51" s="2">
        <f t="shared" si="8"/>
        <v>9.9</v>
      </c>
      <c r="E51" s="3">
        <f t="shared" si="10"/>
        <v>0.55461164043194688</v>
      </c>
      <c r="F51" s="3">
        <f t="shared" si="0"/>
        <v>0.88462552708332431</v>
      </c>
      <c r="G51" s="8">
        <f t="shared" si="4"/>
        <v>1.4817523280322631</v>
      </c>
      <c r="H51" s="80">
        <f t="shared" si="5"/>
        <v>14.669348047519405</v>
      </c>
      <c r="I51" s="92">
        <f t="shared" si="6"/>
        <v>22.661303904961191</v>
      </c>
      <c r="J51" s="73">
        <f t="shared" si="7"/>
        <v>0.5642056941353617</v>
      </c>
    </row>
    <row r="52" spans="2:10" x14ac:dyDescent="0.2">
      <c r="B52" s="7">
        <f t="shared" si="1"/>
        <v>52</v>
      </c>
      <c r="C52" s="2">
        <f t="shared" si="11"/>
        <v>55</v>
      </c>
      <c r="D52" s="2">
        <f t="shared" si="8"/>
        <v>11.9</v>
      </c>
      <c r="E52" s="3">
        <f t="shared" si="10"/>
        <v>0.55461164043194688</v>
      </c>
      <c r="F52" s="3">
        <f t="shared" si="0"/>
        <v>0.88462552708332431</v>
      </c>
      <c r="G52" s="8">
        <f t="shared" si="4"/>
        <v>1.2742573020559047</v>
      </c>
      <c r="H52" s="80">
        <f t="shared" si="5"/>
        <v>15.163661894465266</v>
      </c>
      <c r="I52" s="92">
        <f t="shared" si="6"/>
        <v>21.672676211069469</v>
      </c>
      <c r="J52" s="73">
        <f t="shared" si="7"/>
        <v>0.58321776517174095</v>
      </c>
    </row>
    <row r="53" spans="2:10" x14ac:dyDescent="0.2">
      <c r="B53" s="7">
        <f t="shared" si="1"/>
        <v>52</v>
      </c>
      <c r="C53" s="2">
        <f t="shared" si="11"/>
        <v>55</v>
      </c>
      <c r="D53" s="2">
        <f t="shared" si="8"/>
        <v>13.9</v>
      </c>
      <c r="E53" s="3">
        <f t="shared" si="10"/>
        <v>0.55461164043194688</v>
      </c>
      <c r="F53" s="3">
        <f t="shared" si="0"/>
        <v>0.88462552708332431</v>
      </c>
      <c r="G53" s="8">
        <f t="shared" si="4"/>
        <v>1.1160838786939438</v>
      </c>
      <c r="H53" s="80">
        <f t="shared" si="5"/>
        <v>15.513565913845818</v>
      </c>
      <c r="I53" s="92">
        <f t="shared" si="6"/>
        <v>20.972868172308363</v>
      </c>
      <c r="J53" s="73">
        <f t="shared" si="7"/>
        <v>0.59667561207099307</v>
      </c>
    </row>
    <row r="54" spans="2:10" x14ac:dyDescent="0.2">
      <c r="B54" s="7">
        <f t="shared" si="1"/>
        <v>52</v>
      </c>
      <c r="C54" s="2">
        <f t="shared" si="11"/>
        <v>55</v>
      </c>
      <c r="D54" s="2">
        <f t="shared" si="8"/>
        <v>15.9</v>
      </c>
      <c r="E54" s="3">
        <f t="shared" si="10"/>
        <v>0.55461164043194688</v>
      </c>
      <c r="F54" s="3">
        <f t="shared" si="0"/>
        <v>0.88462552708332431</v>
      </c>
      <c r="G54" s="8">
        <f t="shared" si="4"/>
        <v>0.99209288096916448</v>
      </c>
      <c r="H54" s="80">
        <f t="shared" si="5"/>
        <v>15.774276807409716</v>
      </c>
      <c r="I54" s="92">
        <f t="shared" si="6"/>
        <v>20.451446385180567</v>
      </c>
      <c r="J54" s="73">
        <f t="shared" si="7"/>
        <v>0.60670295413114295</v>
      </c>
    </row>
    <row r="55" spans="2:10" x14ac:dyDescent="0.2">
      <c r="B55" s="7">
        <f t="shared" si="1"/>
        <v>52</v>
      </c>
      <c r="C55" s="2">
        <f t="shared" si="11"/>
        <v>55</v>
      </c>
      <c r="D55" s="2">
        <f t="shared" si="8"/>
        <v>17.899999999999999</v>
      </c>
      <c r="E55" s="3">
        <f t="shared" si="10"/>
        <v>0.55461164043194688</v>
      </c>
      <c r="F55" s="3">
        <f t="shared" si="0"/>
        <v>0.88462552708332431</v>
      </c>
      <c r="G55" s="8">
        <f t="shared" si="4"/>
        <v>0.89251638278074519</v>
      </c>
      <c r="H55" s="80">
        <f t="shared" si="5"/>
        <v>15.976043251775337</v>
      </c>
      <c r="I55" s="92">
        <f t="shared" si="6"/>
        <v>20.047913496449326</v>
      </c>
      <c r="J55" s="73">
        <f t="shared" si="7"/>
        <v>0.61446320199135918</v>
      </c>
    </row>
    <row r="56" spans="2:10" ht="13.5" thickBot="1" x14ac:dyDescent="0.25">
      <c r="B56" s="9">
        <f t="shared" si="1"/>
        <v>52</v>
      </c>
      <c r="C56" s="10">
        <f t="shared" si="11"/>
        <v>55</v>
      </c>
      <c r="D56" s="10">
        <f t="shared" si="8"/>
        <v>19.899999999999999</v>
      </c>
      <c r="E56" s="11">
        <f t="shared" si="10"/>
        <v>0.55461164043194688</v>
      </c>
      <c r="F56" s="11">
        <f t="shared" si="0"/>
        <v>0.88462552708332431</v>
      </c>
      <c r="G56" s="13">
        <f t="shared" si="4"/>
        <v>0.81089573816645633</v>
      </c>
      <c r="H56" s="81">
        <f t="shared" si="5"/>
        <v>16.136825189512479</v>
      </c>
      <c r="I56" s="93">
        <f t="shared" si="6"/>
        <v>19.726349620975043</v>
      </c>
      <c r="J56" s="74">
        <f t="shared" si="7"/>
        <v>0.62064712267355682</v>
      </c>
    </row>
  </sheetData>
  <sheetProtection sheet="1" objects="1" scenarios="1"/>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1496062992125984" bottom="0.51181102362204722" header="0.15748031496062992" footer="0.19685039370078741"/>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8202" r:id="rId5"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8203" r:id="rId6"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8204" r:id="rId7" name="Drop Down 12">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38"/>
  <sheetViews>
    <sheetView zoomScale="75" workbookViewId="0"/>
  </sheetViews>
  <sheetFormatPr defaultRowHeight="12.75" x14ac:dyDescent="0.2"/>
  <cols>
    <col min="1" max="1" width="24.85546875" bestFit="1" customWidth="1"/>
    <col min="2" max="5" width="15.7109375" customWidth="1"/>
    <col min="6" max="6" width="8.85546875" bestFit="1" customWidth="1"/>
  </cols>
  <sheetData>
    <row r="1" spans="1:9" ht="15.75" x14ac:dyDescent="0.25">
      <c r="A1" s="41" t="s">
        <v>221</v>
      </c>
      <c r="B1" t="s">
        <v>163</v>
      </c>
      <c r="D1" s="211" t="s">
        <v>270</v>
      </c>
      <c r="E1" s="211"/>
    </row>
    <row r="2" spans="1:9" x14ac:dyDescent="0.2">
      <c r="E2" s="83" t="s">
        <v>202</v>
      </c>
    </row>
    <row r="3" spans="1:9" x14ac:dyDescent="0.2">
      <c r="A3" t="s">
        <v>156</v>
      </c>
      <c r="B3" s="96">
        <f>Calculator!B43</f>
        <v>1182.0442857142857</v>
      </c>
      <c r="C3" t="s">
        <v>164</v>
      </c>
      <c r="E3" s="83" t="str">
        <f>IF(B14&lt;&gt;CFST!D5,"DIFFERENT VOLUMES - clear Effluent Volume per Day on CFST sheet!","")</f>
        <v/>
      </c>
    </row>
    <row r="4" spans="1:9" x14ac:dyDescent="0.2">
      <c r="B4" s="16"/>
      <c r="E4" s="83" t="s">
        <v>256</v>
      </c>
    </row>
    <row r="5" spans="1:9" s="16" customFormat="1" x14ac:dyDescent="0.2">
      <c r="B5" s="16" t="s">
        <v>165</v>
      </c>
      <c r="C5" s="112"/>
      <c r="D5" s="112"/>
      <c r="E5" s="112"/>
      <c r="F5" s="112"/>
      <c r="G5" s="112"/>
    </row>
    <row r="6" spans="1:9" x14ac:dyDescent="0.2">
      <c r="A6" s="59" t="s">
        <v>166</v>
      </c>
      <c r="C6" s="97"/>
      <c r="D6" s="97"/>
      <c r="E6" s="97"/>
      <c r="F6" s="97"/>
      <c r="G6" s="97"/>
    </row>
    <row r="7" spans="1:9" x14ac:dyDescent="0.2">
      <c r="A7" t="s">
        <v>167</v>
      </c>
      <c r="B7" s="171">
        <f>Calculator!B45</f>
        <v>11.9</v>
      </c>
      <c r="C7" s="68"/>
      <c r="D7" s="68"/>
      <c r="E7" s="97"/>
      <c r="F7" s="97"/>
      <c r="G7" s="97"/>
    </row>
    <row r="8" spans="1:9" x14ac:dyDescent="0.2">
      <c r="A8" t="s">
        <v>168</v>
      </c>
      <c r="B8" s="225">
        <v>0.5</v>
      </c>
      <c r="C8" s="68"/>
      <c r="D8" s="68"/>
      <c r="E8" s="97"/>
      <c r="F8" s="97"/>
      <c r="G8" s="97"/>
    </row>
    <row r="9" spans="1:9" x14ac:dyDescent="0.2">
      <c r="A9" t="s">
        <v>169</v>
      </c>
      <c r="B9" s="230" t="str">
        <f>IF(B16/B15&lt;3,"Decrease Depth above!",IF(B16/B15&gt;20,"Increase Depth above!",B16/B15))</f>
        <v>Increase Depth above!</v>
      </c>
      <c r="C9" s="68"/>
      <c r="D9" s="68"/>
      <c r="E9" s="97"/>
      <c r="F9" s="97"/>
      <c r="G9" s="97"/>
      <c r="I9" s="97"/>
    </row>
    <row r="10" spans="1:9" ht="14.25" x14ac:dyDescent="0.2">
      <c r="A10" t="s">
        <v>189</v>
      </c>
      <c r="B10" s="62">
        <v>2.4</v>
      </c>
      <c r="C10" s="113"/>
      <c r="D10" s="113"/>
      <c r="E10" s="97"/>
      <c r="F10" s="97"/>
      <c r="G10" s="97"/>
    </row>
    <row r="11" spans="1:9" ht="14.25" x14ac:dyDescent="0.2">
      <c r="A11" t="s">
        <v>190</v>
      </c>
      <c r="B11" s="62">
        <v>13</v>
      </c>
      <c r="C11" s="113"/>
      <c r="D11" s="113"/>
      <c r="E11" s="97"/>
      <c r="F11" s="97"/>
      <c r="G11" s="97"/>
    </row>
    <row r="12" spans="1:9" x14ac:dyDescent="0.2">
      <c r="C12" s="97"/>
      <c r="D12" s="97"/>
      <c r="E12" s="97"/>
      <c r="F12" s="97"/>
      <c r="G12" s="97"/>
    </row>
    <row r="13" spans="1:9" x14ac:dyDescent="0.2">
      <c r="A13" s="59" t="s">
        <v>170</v>
      </c>
      <c r="C13" s="97"/>
      <c r="D13" s="97"/>
      <c r="E13" s="97"/>
      <c r="F13" s="97"/>
      <c r="G13" s="97"/>
    </row>
    <row r="14" spans="1:9" x14ac:dyDescent="0.2">
      <c r="A14" s="101" t="s">
        <v>171</v>
      </c>
      <c r="B14" s="108">
        <f>$B$3*B7*1.1</f>
        <v>15472.959700000003</v>
      </c>
      <c r="C14" s="114"/>
      <c r="D14" s="114"/>
      <c r="E14" s="114"/>
      <c r="F14" s="97"/>
      <c r="G14" s="97"/>
    </row>
    <row r="15" spans="1:9" x14ac:dyDescent="0.2">
      <c r="A15" s="101" t="s">
        <v>172</v>
      </c>
      <c r="B15" s="109">
        <f>3*B8</f>
        <v>1.5</v>
      </c>
      <c r="C15" s="97"/>
      <c r="D15" s="97"/>
      <c r="E15" s="97"/>
      <c r="F15" s="97"/>
      <c r="G15" s="97"/>
    </row>
    <row r="16" spans="1:9" x14ac:dyDescent="0.2">
      <c r="A16" s="101" t="s">
        <v>173</v>
      </c>
      <c r="B16" s="109">
        <f>B14/2/B8^2</f>
        <v>30945.919400000006</v>
      </c>
      <c r="C16" s="114"/>
      <c r="D16" s="114"/>
      <c r="E16" s="97"/>
      <c r="F16" s="97"/>
      <c r="G16" s="97"/>
    </row>
    <row r="17" spans="1:7" x14ac:dyDescent="0.2">
      <c r="A17" s="101" t="s">
        <v>174</v>
      </c>
      <c r="B17" s="109">
        <f>B8-B18</f>
        <v>0.42396632608748241</v>
      </c>
      <c r="C17" s="97"/>
      <c r="D17" s="97"/>
      <c r="E17" s="97"/>
      <c r="F17" s="97"/>
      <c r="G17" s="97"/>
    </row>
    <row r="18" spans="1:7" x14ac:dyDescent="0.2">
      <c r="A18" t="s">
        <v>175</v>
      </c>
      <c r="B18" s="64">
        <f>(-3*B8-5+SQRT(17*B8^2+25+30*B8))/2</f>
        <v>7.6033673912517585E-2</v>
      </c>
      <c r="C18" s="115"/>
      <c r="D18" s="115"/>
      <c r="E18" s="97"/>
      <c r="F18" s="97"/>
      <c r="G18" s="97"/>
    </row>
    <row r="19" spans="1:7" ht="14.25" x14ac:dyDescent="0.2">
      <c r="A19" t="s">
        <v>191</v>
      </c>
      <c r="B19" s="63">
        <f>B17*(B17+B8)*B16</f>
        <v>12122.463843338768</v>
      </c>
      <c r="C19" s="114"/>
      <c r="D19" s="114"/>
      <c r="E19" s="116"/>
      <c r="F19" s="97"/>
      <c r="G19" s="97"/>
    </row>
    <row r="20" spans="1:7" x14ac:dyDescent="0.2">
      <c r="A20" t="s">
        <v>176</v>
      </c>
      <c r="B20" s="66">
        <f>B10*B19</f>
        <v>29093.913224013042</v>
      </c>
      <c r="C20" s="117"/>
      <c r="D20" s="117"/>
      <c r="E20" s="117"/>
      <c r="F20" s="97"/>
      <c r="G20" s="97"/>
    </row>
    <row r="21" spans="1:7" x14ac:dyDescent="0.2">
      <c r="A21" t="s">
        <v>177</v>
      </c>
      <c r="B21" s="67">
        <f>B15+5+4*B18</f>
        <v>6.8041346956500703</v>
      </c>
      <c r="C21" s="118"/>
      <c r="D21" s="118"/>
      <c r="E21" s="119"/>
      <c r="F21" s="112"/>
      <c r="G21" s="97"/>
    </row>
    <row r="22" spans="1:7" x14ac:dyDescent="0.2">
      <c r="A22" t="s">
        <v>178</v>
      </c>
      <c r="B22" s="67">
        <f>B16+5+4*B18</f>
        <v>30951.223534695655</v>
      </c>
      <c r="C22" s="118"/>
      <c r="D22" s="118"/>
      <c r="E22" s="119"/>
      <c r="F22" s="119"/>
      <c r="G22" s="97"/>
    </row>
    <row r="23" spans="1:7" x14ac:dyDescent="0.2">
      <c r="A23" s="101" t="s">
        <v>179</v>
      </c>
      <c r="B23" s="111">
        <f>4*B8+2*1.414*B8+3</f>
        <v>6.4139999999999997</v>
      </c>
      <c r="C23" s="120"/>
      <c r="D23" s="120"/>
      <c r="E23" s="97"/>
      <c r="F23" s="97"/>
      <c r="G23" s="97"/>
    </row>
    <row r="24" spans="1:7" x14ac:dyDescent="0.2">
      <c r="A24" s="101" t="s">
        <v>180</v>
      </c>
      <c r="B24" s="111">
        <f>B16+2*B8+2</f>
        <v>30948.919400000006</v>
      </c>
      <c r="C24" s="120"/>
      <c r="D24" s="120"/>
      <c r="E24" s="97"/>
      <c r="F24" s="97"/>
      <c r="G24" s="97"/>
    </row>
    <row r="25" spans="1:7" ht="14.25" x14ac:dyDescent="0.2">
      <c r="A25" t="s">
        <v>192</v>
      </c>
      <c r="B25" s="65">
        <f>(4*B8+2*1.414*B8)*B16</f>
        <v>105649.36883160002</v>
      </c>
      <c r="C25" s="114"/>
      <c r="D25" s="114"/>
      <c r="E25" s="114"/>
      <c r="F25" s="97"/>
      <c r="G25" s="97"/>
    </row>
    <row r="26" spans="1:7" x14ac:dyDescent="0.2">
      <c r="A26" t="s">
        <v>181</v>
      </c>
      <c r="B26" s="66">
        <f>B25*B11</f>
        <v>1373441.7948108003</v>
      </c>
      <c r="C26" s="117"/>
      <c r="D26" s="117"/>
      <c r="E26" s="117"/>
      <c r="F26" s="97"/>
      <c r="G26" s="97"/>
    </row>
    <row r="27" spans="1:7" x14ac:dyDescent="0.2">
      <c r="A27" s="101" t="s">
        <v>182</v>
      </c>
      <c r="B27" s="110">
        <f>B20+B26</f>
        <v>1402535.7080348134</v>
      </c>
      <c r="C27" s="117"/>
      <c r="D27" s="117"/>
      <c r="E27" s="117"/>
      <c r="F27" s="97"/>
      <c r="G27" s="97"/>
    </row>
    <row r="28" spans="1:7" x14ac:dyDescent="0.2">
      <c r="B28" t="str">
        <f>IF(B24&gt;60,IF(B24&lt;70,"Try increased depth!","Use multiple units!"),"")</f>
        <v>Use multiple units!</v>
      </c>
    </row>
    <row r="29" spans="1:7" x14ac:dyDescent="0.2">
      <c r="A29" s="59" t="s">
        <v>183</v>
      </c>
    </row>
    <row r="30" spans="1:7" x14ac:dyDescent="0.2">
      <c r="A30" t="s">
        <v>184</v>
      </c>
    </row>
    <row r="31" spans="1:7" x14ac:dyDescent="0.2">
      <c r="A31" t="s">
        <v>185</v>
      </c>
    </row>
    <row r="32" spans="1:7" x14ac:dyDescent="0.2">
      <c r="A32" t="s">
        <v>186</v>
      </c>
    </row>
    <row r="33" spans="1:1" x14ac:dyDescent="0.2">
      <c r="A33" t="s">
        <v>187</v>
      </c>
    </row>
    <row r="34" spans="1:1" x14ac:dyDescent="0.2">
      <c r="A34" t="s">
        <v>188</v>
      </c>
    </row>
    <row r="35" spans="1:1" x14ac:dyDescent="0.2">
      <c r="A35" t="s">
        <v>264</v>
      </c>
    </row>
    <row r="36" spans="1:1" x14ac:dyDescent="0.2">
      <c r="A36" t="s">
        <v>265</v>
      </c>
    </row>
    <row r="37" spans="1:1" x14ac:dyDescent="0.2">
      <c r="A37" t="s">
        <v>266</v>
      </c>
    </row>
    <row r="38" spans="1:1" x14ac:dyDescent="0.2">
      <c r="A38" t="s">
        <v>267</v>
      </c>
    </row>
  </sheetData>
  <sheetProtection sheet="1" objects="1" scenarios="1"/>
  <phoneticPr fontId="0" type="noConversion"/>
  <conditionalFormatting sqref="B9">
    <cfRule type="cellIs" dxfId="1" priority="1" stopIfTrue="1" operator="equal">
      <formula>"Decrease Depth above!"</formula>
    </cfRule>
    <cfRule type="cellIs" dxfId="0" priority="2" stopIfTrue="1" operator="equal">
      <formula>"Increase Depth Above!"</formula>
    </cfRule>
  </conditionalFormatting>
  <hyperlinks>
    <hyperlink ref="E3" location="CFST!A1" display="CFST!A1"/>
    <hyperlink ref="E2" location="Instructions!A16" display="Return to Instructions"/>
    <hyperlink ref="E4" location="CFST!A1" display="Return to CFST"/>
  </hyperlinks>
  <pageMargins left="0.2" right="0.19" top="1" bottom="1" header="0.5" footer="0.5"/>
  <pageSetup paperSize="9" orientation="portrait" r:id="rId1"/>
  <headerFooter alignWithMargins="0">
    <oddFooter>&amp;L&amp;F &amp;A&amp;CPage &amp;P of &amp;N&amp;R&amp;D &amp;T</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37"/>
  <sheetViews>
    <sheetView topLeftCell="A7" workbookViewId="0">
      <pane ySplit="465" activePane="bottomLeft"/>
      <selection pane="bottomLeft"/>
    </sheetView>
  </sheetViews>
  <sheetFormatPr defaultRowHeight="12.75" x14ac:dyDescent="0.2"/>
  <cols>
    <col min="6" max="7" width="10.28515625" customWidth="1"/>
    <col min="9" max="9" width="10.28515625" customWidth="1"/>
  </cols>
  <sheetData>
    <row r="1" spans="1:14" x14ac:dyDescent="0.2">
      <c r="A1" t="s">
        <v>77</v>
      </c>
      <c r="F1" s="211" t="s">
        <v>270</v>
      </c>
    </row>
    <row r="2" spans="1:14" x14ac:dyDescent="0.2">
      <c r="F2" s="27"/>
      <c r="G2" s="36"/>
      <c r="H2" s="27"/>
      <c r="I2" s="36"/>
      <c r="J2" s="27"/>
      <c r="K2" s="27"/>
      <c r="L2" s="27"/>
    </row>
    <row r="3" spans="1:14" ht="15" thickBot="1" x14ac:dyDescent="0.25">
      <c r="A3" s="16" t="s">
        <v>78</v>
      </c>
      <c r="B3" s="17">
        <f>'Temp&amp;RT'!B30</f>
        <v>52</v>
      </c>
      <c r="C3" s="29" t="s">
        <v>79</v>
      </c>
    </row>
    <row r="4" spans="1:14" ht="14.25" x14ac:dyDescent="0.2">
      <c r="A4" s="16" t="s">
        <v>80</v>
      </c>
      <c r="B4" s="17">
        <f>CFST!D4</f>
        <v>1182.0442857142857</v>
      </c>
      <c r="C4" s="30" t="s">
        <v>81</v>
      </c>
      <c r="F4" s="17"/>
      <c r="G4" s="17"/>
      <c r="H4" s="17"/>
    </row>
    <row r="5" spans="1:14" ht="14.25" x14ac:dyDescent="0.2">
      <c r="A5" s="17"/>
      <c r="B5" s="17"/>
      <c r="C5" s="28"/>
      <c r="F5" s="17" t="s">
        <v>82</v>
      </c>
      <c r="G5" s="17" t="s">
        <v>83</v>
      </c>
      <c r="H5" s="17" t="s">
        <v>84</v>
      </c>
    </row>
    <row r="6" spans="1:14" ht="13.5" thickBot="1" x14ac:dyDescent="0.25">
      <c r="F6" s="56">
        <f>CFST!B35</f>
        <v>100</v>
      </c>
      <c r="G6" s="56">
        <f>CFST!B37</f>
        <v>20</v>
      </c>
      <c r="H6" s="56">
        <f>CFST!B36</f>
        <v>50</v>
      </c>
      <c r="I6" s="17" t="s">
        <v>85</v>
      </c>
    </row>
    <row r="7" spans="1:14" x14ac:dyDescent="0.2">
      <c r="A7" s="5" t="s">
        <v>16</v>
      </c>
      <c r="B7" s="5" t="s">
        <v>18</v>
      </c>
      <c r="C7" s="6" t="s">
        <v>32</v>
      </c>
      <c r="D7" s="17" t="s">
        <v>86</v>
      </c>
      <c r="E7" s="17" t="s">
        <v>87</v>
      </c>
      <c r="F7" s="17" t="s">
        <v>88</v>
      </c>
      <c r="G7" s="17" t="s">
        <v>89</v>
      </c>
      <c r="H7" s="17" t="s">
        <v>90</v>
      </c>
      <c r="I7" s="17" t="s">
        <v>72</v>
      </c>
      <c r="J7" t="s">
        <v>91</v>
      </c>
      <c r="K7" s="17" t="s">
        <v>92</v>
      </c>
      <c r="L7" t="s">
        <v>93</v>
      </c>
      <c r="N7" s="83" t="s">
        <v>202</v>
      </c>
    </row>
    <row r="8" spans="1:14" ht="15" thickBot="1" x14ac:dyDescent="0.25">
      <c r="A8" s="10" t="s">
        <v>17</v>
      </c>
      <c r="B8" s="10" t="s">
        <v>19</v>
      </c>
      <c r="C8" s="12" t="s">
        <v>33</v>
      </c>
      <c r="D8" s="17" t="s">
        <v>38</v>
      </c>
      <c r="E8" s="17" t="s">
        <v>38</v>
      </c>
      <c r="F8" s="17" t="s">
        <v>94</v>
      </c>
      <c r="G8" s="17" t="s">
        <v>94</v>
      </c>
      <c r="H8" s="17" t="s">
        <v>94</v>
      </c>
      <c r="I8" s="17" t="s">
        <v>94</v>
      </c>
      <c r="J8" s="17" t="s">
        <v>95</v>
      </c>
      <c r="K8" s="17" t="s">
        <v>95</v>
      </c>
      <c r="L8" s="17" t="s">
        <v>96</v>
      </c>
    </row>
    <row r="9" spans="1:14" x14ac:dyDescent="0.2">
      <c r="A9" s="17">
        <f>'Temp&amp;RT'!C30</f>
        <v>15</v>
      </c>
      <c r="B9" s="17">
        <f>'Temp&amp;RT'!D30</f>
        <v>3.9000000000000004</v>
      </c>
      <c r="C9" s="20" t="str">
        <f>'Temp&amp;RT'!G30</f>
        <v>WshOut</v>
      </c>
      <c r="D9" s="21">
        <f>(4*B9*CFST!$D$4/PI()/CFST!$D$9)^(1/3)</f>
        <v>14.317246181686482</v>
      </c>
      <c r="E9" s="21">
        <f>D9*CFST!$D$9</f>
        <v>28.634492363372971</v>
      </c>
      <c r="F9" s="22">
        <f>B9*CFST!$D$4*'Costing (Temp &amp; RT)'!$F$6</f>
        <v>460997.27142857143</v>
      </c>
      <c r="G9" s="24">
        <f>$G$6*PI()*(D9*E9+D9*D9/4)</f>
        <v>28978.865001037648</v>
      </c>
      <c r="H9" s="22">
        <f>(CFST!$B$4*CFST!$B$17*(A9-CFST!$B$12)*1000/24/60/60+(A9-CFST!$B$11)/(CFST!$B$13/CFST!$B$15/1000+1/6)*PI()*(D9*D9/4+D9*E9)/1000)*$H$6</f>
        <v>0</v>
      </c>
      <c r="I9" s="25">
        <f>SUM(F9:H9)+F9</f>
        <v>950973.40785818058</v>
      </c>
      <c r="J9" s="26" t="e">
        <f>B9*CFST!$D$4*'Costing (Temp &amp; RT)'!C9</f>
        <v>#VALUE!</v>
      </c>
      <c r="K9" s="26" t="e">
        <f>J9-H9/$H$6/CFST!$B$16*60*60*24/10/CFST!$B$14</f>
        <v>#VALUE!</v>
      </c>
      <c r="L9" s="23" t="e">
        <f>IF(I9/K9/CFST!$B$40/365&lt;0,0,I9/K9/CFST!$B$40/365)</f>
        <v>#VALUE!</v>
      </c>
    </row>
    <row r="10" spans="1:14" x14ac:dyDescent="0.2">
      <c r="A10" s="17">
        <f>'Temp&amp;RT'!C31</f>
        <v>20</v>
      </c>
      <c r="B10" s="17">
        <f>'Temp&amp;RT'!D31</f>
        <v>3.9000000000000004</v>
      </c>
      <c r="C10" s="20" t="str">
        <f>'Temp&amp;RT'!G31</f>
        <v>WshOut</v>
      </c>
      <c r="D10" s="21">
        <f>(4*B10*CFST!$D$4/PI()/CFST!$D$9)^(1/3)</f>
        <v>14.317246181686482</v>
      </c>
      <c r="E10" s="21">
        <f>D10*CFST!$D$9</f>
        <v>28.634492363372971</v>
      </c>
      <c r="F10" s="22">
        <f>B10*CFST!$D$4*'Costing (Temp &amp; RT)'!$F$6</f>
        <v>460997.27142857143</v>
      </c>
      <c r="G10" s="24">
        <f t="shared" ref="G10:G35" si="0">$G$6*PI()*(D10*E10+D10*D10/4)</f>
        <v>28978.865001037648</v>
      </c>
      <c r="H10" s="22">
        <f>(CFST!$B$4*CFST!$B$17*(A10-CFST!$B$12)*1000/24/60/60+(A10-CFST!$B$11)/(CFST!$B$13/CFST!$B$15/1000+1/6)*PI()*(D10*D10/4+D10*E10)/1000)*$H$6</f>
        <v>2173.4148750778231</v>
      </c>
      <c r="I10" s="25">
        <f t="shared" ref="I10:I35" si="1">SUM(F10:H10)+F10</f>
        <v>953146.82273325836</v>
      </c>
      <c r="J10" s="26" t="e">
        <f>B10*CFST!$D$4*'Costing (Temp &amp; RT)'!C10</f>
        <v>#VALUE!</v>
      </c>
      <c r="K10" s="26" t="e">
        <f>J10-H10/$H$6/CFST!$B$16*60*60*24/10/CFST!$B$14</f>
        <v>#VALUE!</v>
      </c>
      <c r="L10" s="23" t="e">
        <f>IF(I10/K10/CFST!$B$40/365&lt;0,0,I10/K10/CFST!$B$40/365)</f>
        <v>#VALUE!</v>
      </c>
    </row>
    <row r="11" spans="1:14" x14ac:dyDescent="0.2">
      <c r="A11" s="17">
        <f>'Temp&amp;RT'!C32</f>
        <v>25</v>
      </c>
      <c r="B11" s="17">
        <f>'Temp&amp;RT'!D32</f>
        <v>3.9000000000000004</v>
      </c>
      <c r="C11" s="20" t="str">
        <f>'Temp&amp;RT'!G32</f>
        <v>WshOut</v>
      </c>
      <c r="D11" s="21">
        <f>(4*B11*CFST!$D$4/PI()/CFST!$D$9)^(1/3)</f>
        <v>14.317246181686482</v>
      </c>
      <c r="E11" s="21">
        <f>D11*CFST!$D$9</f>
        <v>28.634492363372971</v>
      </c>
      <c r="F11" s="22">
        <f>B11*CFST!$D$4*'Costing (Temp &amp; RT)'!$F$6</f>
        <v>460997.27142857143</v>
      </c>
      <c r="G11" s="24">
        <f t="shared" si="0"/>
        <v>28978.865001037648</v>
      </c>
      <c r="H11" s="22">
        <f>(CFST!$B$4*CFST!$B$17*(A11-CFST!$B$12)*1000/24/60/60+(A11-CFST!$B$11)/(CFST!$B$13/CFST!$B$15/1000+1/6)*PI()*(D11*D11/4+D11*E11)/1000)*$H$6</f>
        <v>4346.8297501556463</v>
      </c>
      <c r="I11" s="25">
        <f t="shared" si="1"/>
        <v>955320.23760833615</v>
      </c>
      <c r="J11" s="26" t="e">
        <f>B11*CFST!$D$4*'Costing (Temp &amp; RT)'!C11</f>
        <v>#VALUE!</v>
      </c>
      <c r="K11" s="26" t="e">
        <f>J11-H11/$H$6/CFST!$B$16*60*60*24/10/CFST!$B$14</f>
        <v>#VALUE!</v>
      </c>
      <c r="L11" s="23" t="e">
        <f>IF(I11/K11/CFST!$B$40/365&lt;0,0,I11/K11/CFST!$B$40/365)</f>
        <v>#VALUE!</v>
      </c>
    </row>
    <row r="12" spans="1:14" x14ac:dyDescent="0.2">
      <c r="A12" s="17">
        <f>'Temp&amp;RT'!C33</f>
        <v>30</v>
      </c>
      <c r="B12" s="17">
        <f>'Temp&amp;RT'!D33</f>
        <v>3.9000000000000004</v>
      </c>
      <c r="C12" s="20" t="str">
        <f>'Temp&amp;RT'!G33</f>
        <v>WshOut</v>
      </c>
      <c r="D12" s="21">
        <f>(4*B12*CFST!$D$4/PI()/CFST!$D$9)^(1/3)</f>
        <v>14.317246181686482</v>
      </c>
      <c r="E12" s="21">
        <f>D12*CFST!$D$9</f>
        <v>28.634492363372971</v>
      </c>
      <c r="F12" s="22">
        <f>B12*CFST!$D$4*'Costing (Temp &amp; RT)'!$F$6</f>
        <v>460997.27142857143</v>
      </c>
      <c r="G12" s="24">
        <f t="shared" si="0"/>
        <v>28978.865001037648</v>
      </c>
      <c r="H12" s="22">
        <f>(CFST!$B$4*CFST!$B$17*(A12-CFST!$B$12)*1000/24/60/60+(A12-CFST!$B$11)/(CFST!$B$13/CFST!$B$15/1000+1/6)*PI()*(D12*D12/4+D12*E12)/1000)*$H$6</f>
        <v>6520.2446252334712</v>
      </c>
      <c r="I12" s="25">
        <f t="shared" si="1"/>
        <v>957493.65248341393</v>
      </c>
      <c r="J12" s="26" t="e">
        <f>B12*CFST!$D$4*'Costing (Temp &amp; RT)'!C12</f>
        <v>#VALUE!</v>
      </c>
      <c r="K12" s="26" t="e">
        <f>J12-H12/$H$6/CFST!$B$16*60*60*24/10/CFST!$B$14</f>
        <v>#VALUE!</v>
      </c>
      <c r="L12" s="23" t="e">
        <f>IF(I12/K12/CFST!$B$40/365&lt;0,0,I12/K12/CFST!$B$40/365)</f>
        <v>#VALUE!</v>
      </c>
    </row>
    <row r="13" spans="1:14" x14ac:dyDescent="0.2">
      <c r="A13" s="17">
        <f>'Temp&amp;RT'!C34</f>
        <v>35</v>
      </c>
      <c r="B13" s="17">
        <f>'Temp&amp;RT'!D34</f>
        <v>3.9000000000000004</v>
      </c>
      <c r="C13" s="20">
        <f>'Temp&amp;RT'!G34</f>
        <v>1.1706069741971969</v>
      </c>
      <c r="D13" s="21">
        <f>(4*B13*CFST!$D$4/PI()/CFST!$D$9)^(1/3)</f>
        <v>14.317246181686482</v>
      </c>
      <c r="E13" s="21">
        <f>D13*CFST!$D$9</f>
        <v>28.634492363372971</v>
      </c>
      <c r="F13" s="22">
        <f>B13*CFST!$D$4*'Costing (Temp &amp; RT)'!$F$6</f>
        <v>460997.27142857143</v>
      </c>
      <c r="G13" s="24">
        <f t="shared" si="0"/>
        <v>28978.865001037648</v>
      </c>
      <c r="H13" s="22">
        <f>(CFST!$B$4*CFST!$B$17*(A13-CFST!$B$12)*1000/24/60/60+(A13-CFST!$B$11)/(CFST!$B$13/CFST!$B$15/1000+1/6)*PI()*(D13*D13/4+D13*E13)/1000)*$H$6</f>
        <v>8693.6595003112925</v>
      </c>
      <c r="I13" s="25">
        <f t="shared" si="1"/>
        <v>959667.06735849183</v>
      </c>
      <c r="J13" s="26">
        <f>B13*CFST!$D$4*'Costing (Temp &amp; RT)'!C13</f>
        <v>5396.4662102016391</v>
      </c>
      <c r="K13" s="26">
        <f>J13-H13/$H$6/CFST!$B$16*60*60*24/10/CFST!$B$14</f>
        <v>4846.1862242478692</v>
      </c>
      <c r="L13" s="23">
        <f>IF(I13/K13/CFST!$B$40/365&lt;0,0,I13/K13/CFST!$B$40/365)</f>
        <v>2.7126741734797004E-2</v>
      </c>
    </row>
    <row r="14" spans="1:14" x14ac:dyDescent="0.2">
      <c r="A14" s="17">
        <f>'Temp&amp;RT'!C35</f>
        <v>40</v>
      </c>
      <c r="B14" s="17">
        <f>'Temp&amp;RT'!D35</f>
        <v>3.9000000000000004</v>
      </c>
      <c r="C14" s="20">
        <f>'Temp&amp;RT'!G35</f>
        <v>1.9765450216224651</v>
      </c>
      <c r="D14" s="21">
        <f>(4*B14*CFST!$D$4/PI()/CFST!$D$9)^(1/3)</f>
        <v>14.317246181686482</v>
      </c>
      <c r="E14" s="21">
        <f>D14*CFST!$D$9</f>
        <v>28.634492363372971</v>
      </c>
      <c r="F14" s="22">
        <f>B14*CFST!$D$4*'Costing (Temp &amp; RT)'!$F$6</f>
        <v>460997.27142857143</v>
      </c>
      <c r="G14" s="24">
        <f t="shared" si="0"/>
        <v>28978.865001037648</v>
      </c>
      <c r="H14" s="22">
        <f>(CFST!$B$4*CFST!$B$17*(A14-CFST!$B$12)*1000/24/60/60+(A14-CFST!$B$11)/(CFST!$B$13/CFST!$B$15/1000+1/6)*PI()*(D14*D14/4+D14*E14)/1000)*$H$6</f>
        <v>10867.074375389117</v>
      </c>
      <c r="I14" s="25">
        <f t="shared" si="1"/>
        <v>961840.48223356972</v>
      </c>
      <c r="J14" s="26">
        <f>B14*CFST!$D$4*'Costing (Temp &amp; RT)'!C14</f>
        <v>9111.8186182368318</v>
      </c>
      <c r="K14" s="26">
        <f>J14-H14/$H$6/CFST!$B$16*60*60*24/10/CFST!$B$14</f>
        <v>8423.9686357946193</v>
      </c>
      <c r="L14" s="23">
        <f>IF(I14/K14/CFST!$B$40/365&lt;0,0,I14/K14/CFST!$B$40/365)</f>
        <v>1.5640961625749638E-2</v>
      </c>
    </row>
    <row r="15" spans="1:14" x14ac:dyDescent="0.2">
      <c r="A15" s="17">
        <f>'Temp&amp;RT'!C36</f>
        <v>45</v>
      </c>
      <c r="B15" s="17">
        <f>'Temp&amp;RT'!D36</f>
        <v>3.9000000000000004</v>
      </c>
      <c r="C15" s="20">
        <f>'Temp&amp;RT'!G36</f>
        <v>2.340250366579451</v>
      </c>
      <c r="D15" s="21">
        <f>(4*B15*CFST!$D$4/PI()/CFST!$D$9)^(1/3)</f>
        <v>14.317246181686482</v>
      </c>
      <c r="E15" s="21">
        <f>D15*CFST!$D$9</f>
        <v>28.634492363372971</v>
      </c>
      <c r="F15" s="22">
        <f>B15*CFST!$D$4*'Costing (Temp &amp; RT)'!$F$6</f>
        <v>460997.27142857143</v>
      </c>
      <c r="G15" s="24">
        <f t="shared" si="0"/>
        <v>28978.865001037648</v>
      </c>
      <c r="H15" s="22">
        <f>(CFST!$B$4*CFST!$B$17*(A15-CFST!$B$12)*1000/24/60/60+(A15-CFST!$B$11)/(CFST!$B$13/CFST!$B$15/1000+1/6)*PI()*(D15*D15/4+D15*E15)/1000)*$H$6</f>
        <v>13040.489250466942</v>
      </c>
      <c r="I15" s="25">
        <f t="shared" si="1"/>
        <v>964013.89710864751</v>
      </c>
      <c r="J15" s="26">
        <f>B15*CFST!$D$4*'Costing (Temp &amp; RT)'!C15</f>
        <v>10788.490334528409</v>
      </c>
      <c r="K15" s="26">
        <f>J15-H15/$H$6/CFST!$B$16*60*60*24/10/CFST!$B$14</f>
        <v>9963.0703555977543</v>
      </c>
      <c r="L15" s="23">
        <f>IF(I15/K15/CFST!$B$40/365&lt;0,0,I15/K15/CFST!$B$40/365)</f>
        <v>1.3254618658781749E-2</v>
      </c>
    </row>
    <row r="16" spans="1:14" x14ac:dyDescent="0.2">
      <c r="A16" s="17">
        <f>'Temp&amp;RT'!C37</f>
        <v>50</v>
      </c>
      <c r="B16" s="17">
        <f>'Temp&amp;RT'!D37</f>
        <v>3.9000000000000004</v>
      </c>
      <c r="C16" s="20">
        <f>'Temp&amp;RT'!G37</f>
        <v>2.4944505264203078</v>
      </c>
      <c r="D16" s="21">
        <f>(4*B16*CFST!$D$4/PI()/CFST!$D$9)^(1/3)</f>
        <v>14.317246181686482</v>
      </c>
      <c r="E16" s="21">
        <f>D16*CFST!$D$9</f>
        <v>28.634492363372971</v>
      </c>
      <c r="F16" s="22">
        <f>B16*CFST!$D$4*'Costing (Temp &amp; RT)'!$F$6</f>
        <v>460997.27142857143</v>
      </c>
      <c r="G16" s="24">
        <f t="shared" si="0"/>
        <v>28978.865001037648</v>
      </c>
      <c r="H16" s="22">
        <f>(CFST!$B$4*CFST!$B$17*(A16-CFST!$B$12)*1000/24/60/60+(A16-CFST!$B$11)/(CFST!$B$13/CFST!$B$15/1000+1/6)*PI()*(D16*D16/4+D16*E16)/1000)*$H$6</f>
        <v>15213.904125544766</v>
      </c>
      <c r="I16" s="25">
        <f t="shared" si="1"/>
        <v>966187.31198372529</v>
      </c>
      <c r="J16" s="26">
        <f>B16*CFST!$D$4*'Costing (Temp &amp; RT)'!C16</f>
        <v>11499.348863933255</v>
      </c>
      <c r="K16" s="26">
        <f>J16-H16/$H$6/CFST!$B$16*60*60*24/10/CFST!$B$14</f>
        <v>10536.358888514158</v>
      </c>
      <c r="L16" s="23">
        <f>IF(I16/K16/CFST!$B$40/365&lt;0,0,I16/K16/CFST!$B$40/365)</f>
        <v>1.2561685464550944E-2</v>
      </c>
    </row>
    <row r="17" spans="1:12" x14ac:dyDescent="0.2">
      <c r="A17" s="17">
        <f>'Temp&amp;RT'!C38</f>
        <v>55</v>
      </c>
      <c r="B17" s="17">
        <f>'Temp&amp;RT'!D38</f>
        <v>3.9000000000000004</v>
      </c>
      <c r="C17" s="20">
        <f>'Temp&amp;RT'!G38</f>
        <v>2.5571986644722302</v>
      </c>
      <c r="D17" s="21">
        <f>(4*B17*CFST!$D$4/PI()/CFST!$D$9)^(1/3)</f>
        <v>14.317246181686482</v>
      </c>
      <c r="E17" s="21">
        <f>D17*CFST!$D$9</f>
        <v>28.634492363372971</v>
      </c>
      <c r="F17" s="22">
        <f>B17*CFST!$D$4*'Costing (Temp &amp; RT)'!$F$6</f>
        <v>460997.27142857143</v>
      </c>
      <c r="G17" s="24">
        <f t="shared" si="0"/>
        <v>28978.865001037648</v>
      </c>
      <c r="H17" s="22">
        <f>(CFST!$B$4*CFST!$B$17*(A17-CFST!$B$12)*1000/24/60/60+(A17-CFST!$B$11)/(CFST!$B$13/CFST!$B$15/1000+1/6)*PI()*(D17*D17/4+D17*E17)/1000)*$H$6</f>
        <v>17387.319000622585</v>
      </c>
      <c r="I17" s="25">
        <f t="shared" si="1"/>
        <v>968360.72685880307</v>
      </c>
      <c r="J17" s="26">
        <f>B17*CFST!$D$4*'Costing (Temp &amp; RT)'!C17</f>
        <v>11788.616068224852</v>
      </c>
      <c r="K17" s="26">
        <f>J17-H17/$H$6/CFST!$B$16*60*60*24/10/CFST!$B$14</f>
        <v>10688.056096317312</v>
      </c>
      <c r="L17" s="23">
        <f>IF(I17/K17/CFST!$B$40/365&lt;0,0,I17/K17/CFST!$B$40/365)</f>
        <v>1.2411251697109483E-2</v>
      </c>
    </row>
    <row r="18" spans="1:12" x14ac:dyDescent="0.2">
      <c r="A18" s="17">
        <f>'Temp&amp;RT'!C39</f>
        <v>15</v>
      </c>
      <c r="B18" s="17">
        <f>'Temp&amp;RT'!D39</f>
        <v>11.9</v>
      </c>
      <c r="C18" s="20" t="str">
        <f>'Temp&amp;RT'!G39</f>
        <v>WshOut</v>
      </c>
      <c r="D18" s="21">
        <f>(4*B18*CFST!$D$4/PI()/CFST!$D$9)^(1/3)</f>
        <v>20.76603639045182</v>
      </c>
      <c r="E18" s="21">
        <f>D18*CFST!$D$9</f>
        <v>41.532072780903647</v>
      </c>
      <c r="F18" s="22">
        <f>B18*CFST!$D$4*'Costing (Temp &amp; RT)'!$F$6</f>
        <v>1406632.7000000002</v>
      </c>
      <c r="G18" s="24">
        <f t="shared" si="0"/>
        <v>60963.460055482239</v>
      </c>
      <c r="H18" s="22">
        <f>(CFST!$B$4*CFST!$B$17*(A18-CFST!$B$12)*1000/24/60/60+(A18-CFST!$B$11)/(CFST!$B$13/CFST!$B$15/1000+1/6)*PI()*(D18*D18/4+D18*E18)/1000)*$H$6</f>
        <v>0</v>
      </c>
      <c r="I18" s="25">
        <f t="shared" si="1"/>
        <v>2874228.8600554829</v>
      </c>
      <c r="J18" s="26" t="e">
        <f>B18*CFST!$D$4*'Costing (Temp &amp; RT)'!C18</f>
        <v>#VALUE!</v>
      </c>
      <c r="K18" s="26" t="e">
        <f>J18-H18/$H$6/CFST!$B$16*60*60*24/10/CFST!$B$14</f>
        <v>#VALUE!</v>
      </c>
      <c r="L18" s="23" t="e">
        <f>IF(I18/K18/CFST!$B$40/365&lt;0,0,I18/K18/CFST!$B$40/365)</f>
        <v>#VALUE!</v>
      </c>
    </row>
    <row r="19" spans="1:12" x14ac:dyDescent="0.2">
      <c r="A19" s="17">
        <f>'Temp&amp;RT'!C40</f>
        <v>20</v>
      </c>
      <c r="B19" s="17">
        <f>'Temp&amp;RT'!D40</f>
        <v>11.9</v>
      </c>
      <c r="C19" s="20">
        <f>'Temp&amp;RT'!G40</f>
        <v>0.15530404884023205</v>
      </c>
      <c r="D19" s="21">
        <f>(4*B19*CFST!$D$4/PI()/CFST!$D$9)^(1/3)</f>
        <v>20.76603639045182</v>
      </c>
      <c r="E19" s="21">
        <f>D19*CFST!$D$9</f>
        <v>41.532072780903647</v>
      </c>
      <c r="F19" s="22">
        <f>B19*CFST!$D$4*'Costing (Temp &amp; RT)'!$F$6</f>
        <v>1406632.7000000002</v>
      </c>
      <c r="G19" s="24">
        <f t="shared" si="0"/>
        <v>60963.460055482239</v>
      </c>
      <c r="H19" s="22">
        <f>(CFST!$B$4*CFST!$B$17*(A19-CFST!$B$12)*1000/24/60/60+(A19-CFST!$B$11)/(CFST!$B$13/CFST!$B$15/1000+1/6)*PI()*(D19*D19/4+D19*E19)/1000)*$H$6</f>
        <v>4572.2595041611676</v>
      </c>
      <c r="I19" s="25">
        <f t="shared" si="1"/>
        <v>2878801.1195596438</v>
      </c>
      <c r="J19" s="26">
        <f>B19*CFST!$D$4*'Costing (Temp &amp; RT)'!C19</f>
        <v>2184.557535410675</v>
      </c>
      <c r="K19" s="26">
        <f>J19-H19/$H$6/CFST!$B$16*60*60*24/10/CFST!$B$14</f>
        <v>1895.1485821802539</v>
      </c>
      <c r="L19" s="23">
        <f>IF(I19/K19/CFST!$B$40/365&lt;0,0,I19/K19/CFST!$B$40/365)</f>
        <v>0.20808728215611111</v>
      </c>
    </row>
    <row r="20" spans="1:12" x14ac:dyDescent="0.2">
      <c r="A20" s="17">
        <f>'Temp&amp;RT'!C41</f>
        <v>25</v>
      </c>
      <c r="B20" s="17">
        <f>'Temp&amp;RT'!D41</f>
        <v>11.9</v>
      </c>
      <c r="C20" s="20">
        <f>'Temp&amp;RT'!G41</f>
        <v>0.6941333116099313</v>
      </c>
      <c r="D20" s="21">
        <f>(4*B20*CFST!$D$4/PI()/CFST!$D$9)^(1/3)</f>
        <v>20.76603639045182</v>
      </c>
      <c r="E20" s="21">
        <f>D20*CFST!$D$9</f>
        <v>41.532072780903647</v>
      </c>
      <c r="F20" s="22">
        <f>B20*CFST!$D$4*'Costing (Temp &amp; RT)'!$F$6</f>
        <v>1406632.7000000002</v>
      </c>
      <c r="G20" s="24">
        <f t="shared" si="0"/>
        <v>60963.460055482239</v>
      </c>
      <c r="H20" s="22">
        <f>(CFST!$B$4*CFST!$B$17*(A20-CFST!$B$12)*1000/24/60/60+(A20-CFST!$B$11)/(CFST!$B$13/CFST!$B$15/1000+1/6)*PI()*(D20*D20/4+D20*E20)/1000)*$H$6</f>
        <v>9144.5190083223351</v>
      </c>
      <c r="I20" s="25">
        <f t="shared" si="1"/>
        <v>2883373.3790638051</v>
      </c>
      <c r="J20" s="26">
        <f>B20*CFST!$D$4*'Costing (Temp &amp; RT)'!C20</f>
        <v>9763.9061426981916</v>
      </c>
      <c r="K20" s="26">
        <f>J20-H20/$H$6/CFST!$B$16*60*60*24/10/CFST!$B$14</f>
        <v>9185.0882362373486</v>
      </c>
      <c r="L20" s="23">
        <f>IF(I20/K20/CFST!$B$40/365&lt;0,0,I20/K20/CFST!$B$40/365)</f>
        <v>4.3002597744023242E-2</v>
      </c>
    </row>
    <row r="21" spans="1:12" x14ac:dyDescent="0.2">
      <c r="A21" s="17">
        <f>'Temp&amp;RT'!C42</f>
        <v>30</v>
      </c>
      <c r="B21" s="17">
        <f>'Temp&amp;RT'!D42</f>
        <v>11.9</v>
      </c>
      <c r="C21" s="20">
        <f>'Temp&amp;RT'!G42</f>
        <v>0.98493265563198262</v>
      </c>
      <c r="D21" s="21">
        <f>(4*B21*CFST!$D$4/PI()/CFST!$D$9)^(1/3)</f>
        <v>20.76603639045182</v>
      </c>
      <c r="E21" s="21">
        <f>D21*CFST!$D$9</f>
        <v>41.532072780903647</v>
      </c>
      <c r="F21" s="22">
        <f>B21*CFST!$D$4*'Costing (Temp &amp; RT)'!$F$6</f>
        <v>1406632.7000000002</v>
      </c>
      <c r="G21" s="24">
        <f t="shared" si="0"/>
        <v>60963.460055482239</v>
      </c>
      <c r="H21" s="22">
        <f>(CFST!$B$4*CFST!$B$17*(A21-CFST!$B$12)*1000/24/60/60+(A21-CFST!$B$11)/(CFST!$B$13/CFST!$B$15/1000+1/6)*PI()*(D21*D21/4+D21*E21)/1000)*$H$6</f>
        <v>13716.778512483503</v>
      </c>
      <c r="I21" s="25">
        <f t="shared" si="1"/>
        <v>2887945.6385679664</v>
      </c>
      <c r="J21" s="26">
        <f>B21*CFST!$D$4*'Costing (Temp &amp; RT)'!C21</f>
        <v>13854.38480709786</v>
      </c>
      <c r="K21" s="26">
        <f>J21-H21/$H$6/CFST!$B$16*60*60*24/10/CFST!$B$14</f>
        <v>12986.157947406597</v>
      </c>
      <c r="L21" s="23">
        <f>IF(I21/K21/CFST!$B$40/365&lt;0,0,I21/K21/CFST!$B$40/365)</f>
        <v>3.0463898035650961E-2</v>
      </c>
    </row>
    <row r="22" spans="1:12" x14ac:dyDescent="0.2">
      <c r="A22" s="17">
        <f>'Temp&amp;RT'!C43</f>
        <v>35</v>
      </c>
      <c r="B22" s="17">
        <f>'Temp&amp;RT'!D43</f>
        <v>11.9</v>
      </c>
      <c r="C22" s="20">
        <f>'Temp&amp;RT'!G43</f>
        <v>1.1395052523400369</v>
      </c>
      <c r="D22" s="21">
        <f>(4*B22*CFST!$D$4/PI()/CFST!$D$9)^(1/3)</f>
        <v>20.76603639045182</v>
      </c>
      <c r="E22" s="21">
        <f>D22*CFST!$D$9</f>
        <v>41.532072780903647</v>
      </c>
      <c r="F22" s="22">
        <f>B22*CFST!$D$4*'Costing (Temp &amp; RT)'!$F$6</f>
        <v>1406632.7000000002</v>
      </c>
      <c r="G22" s="24">
        <f t="shared" si="0"/>
        <v>60963.460055482239</v>
      </c>
      <c r="H22" s="22">
        <f>(CFST!$B$4*CFST!$B$17*(A22-CFST!$B$12)*1000/24/60/60+(A22-CFST!$B$11)/(CFST!$B$13/CFST!$B$15/1000+1/6)*PI()*(D22*D22/4+D22*E22)/1000)*$H$6</f>
        <v>18289.03801664467</v>
      </c>
      <c r="I22" s="25">
        <f t="shared" si="1"/>
        <v>2892517.8980721273</v>
      </c>
      <c r="J22" s="26">
        <f>B22*CFST!$D$4*'Costing (Temp &amp; RT)'!C22</f>
        <v>16028.653497632475</v>
      </c>
      <c r="K22" s="26">
        <f>J22-H22/$H$6/CFST!$B$16*60*60*24/10/CFST!$B$14</f>
        <v>14871.01768471079</v>
      </c>
      <c r="L22" s="23">
        <f>IF(I22/K22/CFST!$B$40/365&lt;0,0,I22/K22/CFST!$B$40/365)</f>
        <v>2.6644802454267074E-2</v>
      </c>
    </row>
    <row r="23" spans="1:12" x14ac:dyDescent="0.2">
      <c r="A23" s="17">
        <f>'Temp&amp;RT'!C44</f>
        <v>40</v>
      </c>
      <c r="B23" s="17">
        <f>'Temp&amp;RT'!D44</f>
        <v>11.9</v>
      </c>
      <c r="C23" s="20">
        <f>'Temp&amp;RT'!G44</f>
        <v>1.2169839678869943</v>
      </c>
      <c r="D23" s="21">
        <f>(4*B23*CFST!$D$4/PI()/CFST!$D$9)^(1/3)</f>
        <v>20.76603639045182</v>
      </c>
      <c r="E23" s="21">
        <f>D23*CFST!$D$9</f>
        <v>41.532072780903647</v>
      </c>
      <c r="F23" s="22">
        <f>B23*CFST!$D$4*'Costing (Temp &amp; RT)'!$F$6</f>
        <v>1406632.7000000002</v>
      </c>
      <c r="G23" s="24">
        <f t="shared" si="0"/>
        <v>60963.460055482239</v>
      </c>
      <c r="H23" s="22">
        <f>(CFST!$B$4*CFST!$B$17*(A23-CFST!$B$12)*1000/24/60/60+(A23-CFST!$B$11)/(CFST!$B$13/CFST!$B$15/1000+1/6)*PI()*(D23*D23/4+D23*E23)/1000)*$H$6</f>
        <v>22861.297520805838</v>
      </c>
      <c r="I23" s="25">
        <f t="shared" si="1"/>
        <v>2897090.1575762886</v>
      </c>
      <c r="J23" s="26">
        <f>B23*CFST!$D$4*'Costing (Temp &amp; RT)'!C23</f>
        <v>17118.49444605596</v>
      </c>
      <c r="K23" s="26">
        <f>J23-H23/$H$6/CFST!$B$16*60*60*24/10/CFST!$B$14</f>
        <v>15671.449679903853</v>
      </c>
      <c r="L23" s="23">
        <f>IF(I23/K23/CFST!$B$40/365&lt;0,0,I23/K23/CFST!$B$40/365)</f>
        <v>2.5323864321902614E-2</v>
      </c>
    </row>
    <row r="24" spans="1:12" x14ac:dyDescent="0.2">
      <c r="A24" s="17">
        <f>'Temp&amp;RT'!C45</f>
        <v>45</v>
      </c>
      <c r="B24" s="17">
        <f>'Temp&amp;RT'!D45</f>
        <v>11.9</v>
      </c>
      <c r="C24" s="20">
        <f>'Temp&amp;RT'!G45</f>
        <v>1.2527129560824137</v>
      </c>
      <c r="D24" s="21">
        <f>(4*B24*CFST!$D$4/PI()/CFST!$D$9)^(1/3)</f>
        <v>20.76603639045182</v>
      </c>
      <c r="E24" s="21">
        <f>D24*CFST!$D$9</f>
        <v>41.532072780903647</v>
      </c>
      <c r="F24" s="22">
        <f>B24*CFST!$D$4*'Costing (Temp &amp; RT)'!$F$6</f>
        <v>1406632.7000000002</v>
      </c>
      <c r="G24" s="24">
        <f t="shared" si="0"/>
        <v>60963.460055482239</v>
      </c>
      <c r="H24" s="22">
        <f>(CFST!$B$4*CFST!$B$17*(A24-CFST!$B$12)*1000/24/60/60+(A24-CFST!$B$11)/(CFST!$B$13/CFST!$B$15/1000+1/6)*PI()*(D24*D24/4+D24*E24)/1000)*$H$6</f>
        <v>27433.557024967005</v>
      </c>
      <c r="I24" s="25">
        <f t="shared" si="1"/>
        <v>2901662.4170804499</v>
      </c>
      <c r="J24" s="26">
        <f>B24*CFST!$D$4*'Costing (Temp &amp; RT)'!C24</f>
        <v>17621.070077391872</v>
      </c>
      <c r="K24" s="26">
        <f>J24-H24/$H$6/CFST!$B$16*60*60*24/10/CFST!$B$14</f>
        <v>15884.616358009345</v>
      </c>
      <c r="L24" s="23">
        <f>IF(I24/K24/CFST!$B$40/365&lt;0,0,I24/K24/CFST!$B$40/365)</f>
        <v>2.5023456241004282E-2</v>
      </c>
    </row>
    <row r="25" spans="1:12" x14ac:dyDescent="0.2">
      <c r="A25" s="17">
        <f>'Temp&amp;RT'!C46</f>
        <v>50</v>
      </c>
      <c r="B25" s="17">
        <f>'Temp&amp;RT'!D46</f>
        <v>11.9</v>
      </c>
      <c r="C25" s="20">
        <f>'Temp&amp;RT'!G46</f>
        <v>1.2680080050222777</v>
      </c>
      <c r="D25" s="21">
        <f>(4*B25*CFST!$D$4/PI()/CFST!$D$9)^(1/3)</f>
        <v>20.76603639045182</v>
      </c>
      <c r="E25" s="21">
        <f>D25*CFST!$D$9</f>
        <v>41.532072780903647</v>
      </c>
      <c r="F25" s="22">
        <f>B25*CFST!$D$4*'Costing (Temp &amp; RT)'!$F$6</f>
        <v>1406632.7000000002</v>
      </c>
      <c r="G25" s="24">
        <f t="shared" si="0"/>
        <v>60963.460055482239</v>
      </c>
      <c r="H25" s="22">
        <f>(CFST!$B$4*CFST!$B$17*(A25-CFST!$B$12)*1000/24/60/60+(A25-CFST!$B$11)/(CFST!$B$13/CFST!$B$15/1000+1/6)*PI()*(D25*D25/4+D25*E25)/1000)*$H$6</f>
        <v>32005.816529128173</v>
      </c>
      <c r="I25" s="25">
        <f t="shared" si="1"/>
        <v>2906234.6765846107</v>
      </c>
      <c r="J25" s="26">
        <f>B25*CFST!$D$4*'Costing (Temp &amp; RT)'!C25</f>
        <v>17836.215237261003</v>
      </c>
      <c r="K25" s="26">
        <f>J25-H25/$H$6/CFST!$B$16*60*60*24/10/CFST!$B$14</f>
        <v>15810.352564648056</v>
      </c>
      <c r="L25" s="23">
        <f>IF(I25/K25/CFST!$B$40/365&lt;0,0,I25/K25/CFST!$B$40/365)</f>
        <v>2.5180611098347638E-2</v>
      </c>
    </row>
    <row r="26" spans="1:12" x14ac:dyDescent="0.2">
      <c r="A26" s="17">
        <f>'Temp&amp;RT'!C47</f>
        <v>55</v>
      </c>
      <c r="B26" s="17">
        <f>'Temp&amp;RT'!D47</f>
        <v>11.9</v>
      </c>
      <c r="C26" s="20">
        <f>'Temp&amp;RT'!G47</f>
        <v>1.2742573020559047</v>
      </c>
      <c r="D26" s="21">
        <f>(4*B26*CFST!$D$4/PI()/CFST!$D$9)^(1/3)</f>
        <v>20.76603639045182</v>
      </c>
      <c r="E26" s="21">
        <f>D26*CFST!$D$9</f>
        <v>41.532072780903647</v>
      </c>
      <c r="F26" s="22">
        <f>B26*CFST!$D$4*'Costing (Temp &amp; RT)'!$F$6</f>
        <v>1406632.7000000002</v>
      </c>
      <c r="G26" s="24">
        <f t="shared" si="0"/>
        <v>60963.460055482239</v>
      </c>
      <c r="H26" s="22">
        <f>(CFST!$B$4*CFST!$B$17*(A26-CFST!$B$12)*1000/24/60/60+(A26-CFST!$B$11)/(CFST!$B$13/CFST!$B$15/1000+1/6)*PI()*(D26*D26/4+D26*E26)/1000)*$H$6</f>
        <v>36578.076033289341</v>
      </c>
      <c r="I26" s="25">
        <f t="shared" si="1"/>
        <v>2910806.936088772</v>
      </c>
      <c r="J26" s="26">
        <f>B26*CFST!$D$4*'Costing (Temp &amp; RT)'!C26</f>
        <v>17924.119892856128</v>
      </c>
      <c r="K26" s="26">
        <f>J26-H26/$H$6/CFST!$B$16*60*60*24/10/CFST!$B$14</f>
        <v>15608.84826701276</v>
      </c>
      <c r="L26" s="23">
        <f>IF(I26/K26/CFST!$B$40/365&lt;0,0,I26/K26/CFST!$B$40/365)</f>
        <v>2.5545810258097639E-2</v>
      </c>
    </row>
    <row r="27" spans="1:12" x14ac:dyDescent="0.2">
      <c r="A27" s="17">
        <f>'Temp&amp;RT'!C48</f>
        <v>15</v>
      </c>
      <c r="B27" s="17">
        <f>'Temp&amp;RT'!D48</f>
        <v>19.899999999999999</v>
      </c>
      <c r="C27" s="20">
        <f>'Temp&amp;RT'!G48</f>
        <v>0.10642091630739685</v>
      </c>
      <c r="D27" s="21">
        <f>(4*B27*CFST!$D$4/PI()/CFST!$D$9)^(1/3)</f>
        <v>24.648414143985121</v>
      </c>
      <c r="E27" s="21">
        <f>D27*CFST!$D$9</f>
        <v>49.296828287970257</v>
      </c>
      <c r="F27" s="22">
        <f>B27*CFST!$D$4*'Costing (Temp &amp; RT)'!$F$6</f>
        <v>2352268.1285714284</v>
      </c>
      <c r="G27" s="24">
        <f t="shared" si="0"/>
        <v>85889.55473352017</v>
      </c>
      <c r="H27" s="22">
        <f>(CFST!$B$4*CFST!$B$17*(A27-CFST!$B$12)*1000/24/60/60+(A27-CFST!$B$11)/(CFST!$B$13/CFST!$B$15/1000+1/6)*PI()*(D27*D27/4+D27*E27)/1000)*$H$6</f>
        <v>0</v>
      </c>
      <c r="I27" s="25">
        <f t="shared" si="1"/>
        <v>4790425.8118763771</v>
      </c>
      <c r="J27" s="26">
        <f>B27*CFST!$D$4*'Costing (Temp &amp; RT)'!C27</f>
        <v>2503.3052964325698</v>
      </c>
      <c r="K27" s="26">
        <f>J27-H27/$H$6/CFST!$B$16*60*60*24/10/CFST!$B$14</f>
        <v>2503.3052964325698</v>
      </c>
      <c r="L27" s="23">
        <f>IF(I27/K27/CFST!$B$40/365&lt;0,0,I27/K27/CFST!$B$40/365)</f>
        <v>0.26214250211144574</v>
      </c>
    </row>
    <row r="28" spans="1:12" x14ac:dyDescent="0.2">
      <c r="A28" s="17">
        <f>'Temp&amp;RT'!C49</f>
        <v>20</v>
      </c>
      <c r="B28" s="17">
        <f>'Temp&amp;RT'!D49</f>
        <v>19.899999999999999</v>
      </c>
      <c r="C28" s="20">
        <f>'Temp&amp;RT'!G49</f>
        <v>0.43141125517878665</v>
      </c>
      <c r="D28" s="21">
        <f>(4*B28*CFST!$D$4/PI()/CFST!$D$9)^(1/3)</f>
        <v>24.648414143985121</v>
      </c>
      <c r="E28" s="21">
        <f>D28*CFST!$D$9</f>
        <v>49.296828287970257</v>
      </c>
      <c r="F28" s="22">
        <f>B28*CFST!$D$4*'Costing (Temp &amp; RT)'!$F$6</f>
        <v>2352268.1285714284</v>
      </c>
      <c r="G28" s="24">
        <f t="shared" si="0"/>
        <v>85889.55473352017</v>
      </c>
      <c r="H28" s="22">
        <f>(CFST!$B$4*CFST!$B$17*(A28-CFST!$B$12)*1000/24/60/60+(A28-CFST!$B$11)/(CFST!$B$13/CFST!$B$15/1000+1/6)*PI()*(D28*D28/4+D28*E28)/1000)*$H$6</f>
        <v>6441.7166050140122</v>
      </c>
      <c r="I28" s="25">
        <f t="shared" si="1"/>
        <v>4796867.5284813913</v>
      </c>
      <c r="J28" s="26">
        <f>B28*CFST!$D$4*'Costing (Temp &amp; RT)'!C28</f>
        <v>10147.949458640554</v>
      </c>
      <c r="K28" s="26">
        <f>J28-H28/$H$6/CFST!$B$16*60*60*24/10/CFST!$B$14</f>
        <v>9740.2100339715362</v>
      </c>
      <c r="L28" s="23">
        <f>IF(I28/K28/CFST!$B$40/365&lt;0,0,I28/K28/CFST!$B$40/365)</f>
        <v>6.7463138740954803E-2</v>
      </c>
    </row>
    <row r="29" spans="1:12" x14ac:dyDescent="0.2">
      <c r="A29" s="17">
        <f>'Temp&amp;RT'!C50</f>
        <v>25</v>
      </c>
      <c r="B29" s="17">
        <f>'Temp&amp;RT'!D50</f>
        <v>19.899999999999999</v>
      </c>
      <c r="C29" s="20">
        <f>'Temp&amp;RT'!G50</f>
        <v>0.61048595150953289</v>
      </c>
      <c r="D29" s="21">
        <f>(4*B29*CFST!$D$4/PI()/CFST!$D$9)^(1/3)</f>
        <v>24.648414143985121</v>
      </c>
      <c r="E29" s="21">
        <f>D29*CFST!$D$9</f>
        <v>49.296828287970257</v>
      </c>
      <c r="F29" s="22">
        <f>B29*CFST!$D$4*'Costing (Temp &amp; RT)'!$F$6</f>
        <v>2352268.1285714284</v>
      </c>
      <c r="G29" s="24">
        <f t="shared" si="0"/>
        <v>85889.55473352017</v>
      </c>
      <c r="H29" s="22">
        <f>(CFST!$B$4*CFST!$B$17*(A29-CFST!$B$12)*1000/24/60/60+(A29-CFST!$B$11)/(CFST!$B$13/CFST!$B$15/1000+1/6)*PI()*(D29*D29/4+D29*E29)/1000)*$H$6</f>
        <v>12883.433210028024</v>
      </c>
      <c r="I29" s="25">
        <f t="shared" si="1"/>
        <v>4803309.2450864054</v>
      </c>
      <c r="J29" s="26">
        <f>B29*CFST!$D$4*'Costing (Temp &amp; RT)'!C29</f>
        <v>14360.266466764766</v>
      </c>
      <c r="K29" s="26">
        <f>J29-H29/$H$6/CFST!$B$16*60*60*24/10/CFST!$B$14</f>
        <v>13544.787617426729</v>
      </c>
      <c r="L29" s="23">
        <f>IF(I29/K29/CFST!$B$40/365&lt;0,0,I29/K29/CFST!$B$40/365)</f>
        <v>4.8578655229225484E-2</v>
      </c>
    </row>
    <row r="30" spans="1:12" x14ac:dyDescent="0.2">
      <c r="A30" s="17">
        <f>'Temp&amp;RT'!C51</f>
        <v>30</v>
      </c>
      <c r="B30" s="17">
        <f>'Temp&amp;RT'!D51</f>
        <v>19.899999999999999</v>
      </c>
      <c r="C30" s="20">
        <f>'Temp&amp;RT'!G51</f>
        <v>0.70993048340167131</v>
      </c>
      <c r="D30" s="21">
        <f>(4*B30*CFST!$D$4/PI()/CFST!$D$9)^(1/3)</f>
        <v>24.648414143985121</v>
      </c>
      <c r="E30" s="21">
        <f>D30*CFST!$D$9</f>
        <v>49.296828287970257</v>
      </c>
      <c r="F30" s="22">
        <f>B30*CFST!$D$4*'Costing (Temp &amp; RT)'!$F$6</f>
        <v>2352268.1285714284</v>
      </c>
      <c r="G30" s="24">
        <f t="shared" si="0"/>
        <v>85889.55473352017</v>
      </c>
      <c r="H30" s="22">
        <f>(CFST!$B$4*CFST!$B$17*(A30-CFST!$B$12)*1000/24/60/60+(A30-CFST!$B$11)/(CFST!$B$13/CFST!$B$15/1000+1/6)*PI()*(D30*D30/4+D30*E30)/1000)*$H$6</f>
        <v>19325.149815042041</v>
      </c>
      <c r="I30" s="25">
        <f t="shared" si="1"/>
        <v>4809750.9616914187</v>
      </c>
      <c r="J30" s="26">
        <f>B30*CFST!$D$4*'Costing (Temp &amp; RT)'!C30</f>
        <v>16699.468496070589</v>
      </c>
      <c r="K30" s="26">
        <f>J30-H30/$H$6/CFST!$B$16*60*60*24/10/CFST!$B$14</f>
        <v>15476.250222063532</v>
      </c>
      <c r="L30" s="23">
        <f>IF(I30/K30/CFST!$B$40/365&lt;0,0,I30/K30/CFST!$B$40/365)</f>
        <v>4.2572973769378512E-2</v>
      </c>
    </row>
    <row r="31" spans="1:12" x14ac:dyDescent="0.2">
      <c r="A31" s="17">
        <f>'Temp&amp;RT'!C52</f>
        <v>35</v>
      </c>
      <c r="B31" s="17">
        <f>'Temp&amp;RT'!D52</f>
        <v>19.899999999999999</v>
      </c>
      <c r="C31" s="20">
        <f>'Temp&amp;RT'!G52</f>
        <v>0.76361625668406641</v>
      </c>
      <c r="D31" s="21">
        <f>(4*B31*CFST!$D$4/PI()/CFST!$D$9)^(1/3)</f>
        <v>24.648414143985121</v>
      </c>
      <c r="E31" s="21">
        <f>D31*CFST!$D$9</f>
        <v>49.296828287970257</v>
      </c>
      <c r="F31" s="22">
        <f>B31*CFST!$D$4*'Costing (Temp &amp; RT)'!$F$6</f>
        <v>2352268.1285714284</v>
      </c>
      <c r="G31" s="24">
        <f t="shared" si="0"/>
        <v>85889.55473352017</v>
      </c>
      <c r="H31" s="22">
        <f>(CFST!$B$4*CFST!$B$17*(A31-CFST!$B$12)*1000/24/60/60+(A31-CFST!$B$11)/(CFST!$B$13/CFST!$B$15/1000+1/6)*PI()*(D31*D31/4+D31*E31)/1000)*$H$6</f>
        <v>25766.866420056049</v>
      </c>
      <c r="I31" s="25">
        <f t="shared" si="1"/>
        <v>4816192.6782964338</v>
      </c>
      <c r="J31" s="26">
        <f>B31*CFST!$D$4*'Costing (Temp &amp; RT)'!C31</f>
        <v>17962.301830569482</v>
      </c>
      <c r="K31" s="26">
        <f>J31-H31/$H$6/CFST!$B$16*60*60*24/10/CFST!$B$14</f>
        <v>16331.344131893407</v>
      </c>
      <c r="L31" s="23">
        <f>IF(I31/K31/CFST!$B$40/365&lt;0,0,I31/K31/CFST!$B$40/365)</f>
        <v>4.0397925385456515E-2</v>
      </c>
    </row>
    <row r="32" spans="1:12" x14ac:dyDescent="0.2">
      <c r="A32" s="17">
        <f>'Temp&amp;RT'!C53</f>
        <v>40</v>
      </c>
      <c r="B32" s="17">
        <f>'Temp&amp;RT'!D53</f>
        <v>19.899999999999999</v>
      </c>
      <c r="C32" s="20">
        <f>'Temp&amp;RT'!G53</f>
        <v>0.79074583664408948</v>
      </c>
      <c r="D32" s="21">
        <f>(4*B32*CFST!$D$4/PI()/CFST!$D$9)^(1/3)</f>
        <v>24.648414143985121</v>
      </c>
      <c r="E32" s="21">
        <f>D32*CFST!$D$9</f>
        <v>49.296828287970257</v>
      </c>
      <c r="F32" s="22">
        <f>B32*CFST!$D$4*'Costing (Temp &amp; RT)'!$F$6</f>
        <v>2352268.1285714284</v>
      </c>
      <c r="G32" s="24">
        <f t="shared" si="0"/>
        <v>85889.55473352017</v>
      </c>
      <c r="H32" s="22">
        <f>(CFST!$B$4*CFST!$B$17*(A32-CFST!$B$12)*1000/24/60/60+(A32-CFST!$B$11)/(CFST!$B$13/CFST!$B$15/1000+1/6)*PI()*(D32*D32/4+D32*E32)/1000)*$H$6</f>
        <v>32208.583025070067</v>
      </c>
      <c r="I32" s="25">
        <f t="shared" si="1"/>
        <v>4822634.394901447</v>
      </c>
      <c r="J32" s="26">
        <f>B32*CFST!$D$4*'Costing (Temp &amp; RT)'!C32</f>
        <v>18600.462293384408</v>
      </c>
      <c r="K32" s="26">
        <f>J32-H32/$H$6/CFST!$B$16*60*60*24/10/CFST!$B$14</f>
        <v>16561.765170039311</v>
      </c>
      <c r="L32" s="23">
        <f>IF(I32/K32/CFST!$B$40/365&lt;0,0,I32/K32/CFST!$B$40/365)</f>
        <v>3.9889156852178004E-2</v>
      </c>
    </row>
    <row r="33" spans="1:12" x14ac:dyDescent="0.2">
      <c r="A33" s="17">
        <f>'Temp&amp;RT'!C54</f>
        <v>45</v>
      </c>
      <c r="B33" s="17">
        <f>'Temp&amp;RT'!D54</f>
        <v>19.899999999999999</v>
      </c>
      <c r="C33" s="20">
        <f>'Temp&amp;RT'!G54</f>
        <v>0.8033064601476948</v>
      </c>
      <c r="D33" s="21">
        <f>(4*B33*CFST!$D$4/PI()/CFST!$D$9)^(1/3)</f>
        <v>24.648414143985121</v>
      </c>
      <c r="E33" s="21">
        <f>D33*CFST!$D$9</f>
        <v>49.296828287970257</v>
      </c>
      <c r="F33" s="22">
        <f>B33*CFST!$D$4*'Costing (Temp &amp; RT)'!$F$6</f>
        <v>2352268.1285714284</v>
      </c>
      <c r="G33" s="24">
        <f t="shared" si="0"/>
        <v>85889.55473352017</v>
      </c>
      <c r="H33" s="22">
        <f>(CFST!$B$4*CFST!$B$17*(A33-CFST!$B$12)*1000/24/60/60+(A33-CFST!$B$11)/(CFST!$B$13/CFST!$B$15/1000+1/6)*PI()*(D33*D33/4+D33*E33)/1000)*$H$6</f>
        <v>38650.299630084082</v>
      </c>
      <c r="I33" s="25">
        <f t="shared" si="1"/>
        <v>4829076.1115064612</v>
      </c>
      <c r="J33" s="26">
        <f>B33*CFST!$D$4*'Costing (Temp &amp; RT)'!C33</f>
        <v>18895.921836809568</v>
      </c>
      <c r="K33" s="26">
        <f>J33-H33/$H$6/CFST!$B$16*60*60*24/10/CFST!$B$14</f>
        <v>16449.485288795455</v>
      </c>
      <c r="L33" s="23">
        <f>IF(I33/K33/CFST!$B$40/365&lt;0,0,I33/K33/CFST!$B$40/365)</f>
        <v>4.0215074449741102E-2</v>
      </c>
    </row>
    <row r="34" spans="1:12" x14ac:dyDescent="0.2">
      <c r="A34" s="17">
        <f>'Temp&amp;RT'!C55</f>
        <v>50</v>
      </c>
      <c r="B34" s="17">
        <f>'Temp&amp;RT'!D55</f>
        <v>19.899999999999999</v>
      </c>
      <c r="C34" s="20">
        <f>'Temp&amp;RT'!G55</f>
        <v>0.80869315378996975</v>
      </c>
      <c r="D34" s="21">
        <f>(4*B34*CFST!$D$4/PI()/CFST!$D$9)^(1/3)</f>
        <v>24.648414143985121</v>
      </c>
      <c r="E34" s="21">
        <f>D34*CFST!$D$9</f>
        <v>49.296828287970257</v>
      </c>
      <c r="F34" s="22">
        <f>B34*CFST!$D$4*'Costing (Temp &amp; RT)'!$F$6</f>
        <v>2352268.1285714284</v>
      </c>
      <c r="G34" s="24">
        <f t="shared" si="0"/>
        <v>85889.55473352017</v>
      </c>
      <c r="H34" s="22">
        <f>(CFST!$B$4*CFST!$B$17*(A34-CFST!$B$12)*1000/24/60/60+(A34-CFST!$B$11)/(CFST!$B$13/CFST!$B$15/1000+1/6)*PI()*(D34*D34/4+D34*E34)/1000)*$H$6</f>
        <v>45092.01623509809</v>
      </c>
      <c r="I34" s="25">
        <f t="shared" si="1"/>
        <v>4835517.8281114753</v>
      </c>
      <c r="J34" s="26">
        <f>B34*CFST!$D$4*'Costing (Temp &amp; RT)'!C34</f>
        <v>19022.631314540584</v>
      </c>
      <c r="K34" s="26">
        <f>J34-H34/$H$6/CFST!$B$16*60*60*24/10/CFST!$B$14</f>
        <v>16168.455341857452</v>
      </c>
      <c r="L34" s="23">
        <f>IF(I34/K34/CFST!$B$40/365&lt;0,0,I34/K34/CFST!$B$40/365)</f>
        <v>4.0968644714389074E-2</v>
      </c>
    </row>
    <row r="35" spans="1:12" x14ac:dyDescent="0.2">
      <c r="A35" s="17">
        <f>'Temp&amp;RT'!C56</f>
        <v>55</v>
      </c>
      <c r="B35" s="17">
        <f>'Temp&amp;RT'!D56</f>
        <v>19.899999999999999</v>
      </c>
      <c r="C35" s="20">
        <f>'Temp&amp;RT'!G56</f>
        <v>0.81089573816645633</v>
      </c>
      <c r="D35" s="21">
        <f>(4*B35*CFST!$D$4/PI()/CFST!$D$9)^(1/3)</f>
        <v>24.648414143985121</v>
      </c>
      <c r="E35" s="21">
        <f>D35*CFST!$D$9</f>
        <v>49.296828287970257</v>
      </c>
      <c r="F35" s="22">
        <f>B35*CFST!$D$4*'Costing (Temp &amp; RT)'!$F$6</f>
        <v>2352268.1285714284</v>
      </c>
      <c r="G35" s="24">
        <f t="shared" si="0"/>
        <v>85889.55473352017</v>
      </c>
      <c r="H35" s="22">
        <f>(CFST!$B$4*CFST!$B$17*(A35-CFST!$B$12)*1000/24/60/60+(A35-CFST!$B$11)/(CFST!$B$13/CFST!$B$15/1000+1/6)*PI()*(D35*D35/4+D35*E35)/1000)*$H$6</f>
        <v>51533.732840112098</v>
      </c>
      <c r="I35" s="25">
        <f t="shared" si="1"/>
        <v>4841959.5447164886</v>
      </c>
      <c r="J35" s="26">
        <f>B35*CFST!$D$4*'Costing (Temp &amp; RT)'!C35</f>
        <v>19074.442004833571</v>
      </c>
      <c r="K35" s="26">
        <f>J35-H35/$H$6/CFST!$B$16*60*60*24/10/CFST!$B$14</f>
        <v>15812.526607481421</v>
      </c>
      <c r="L35" s="23">
        <f>IF(I35/K35/CFST!$B$40/365&lt;0,0,I35/K35/CFST!$B$40/365)</f>
        <v>4.194662534824746E-2</v>
      </c>
    </row>
    <row r="37" spans="1:12" x14ac:dyDescent="0.2">
      <c r="L37" s="27"/>
    </row>
  </sheetData>
  <sheetProtection sheet="1" objects="1" scenarios="1"/>
  <phoneticPr fontId="3" type="noConversion"/>
  <hyperlinks>
    <hyperlink ref="N7" location="Instructions!A16" display="Return to Instructions"/>
  </hyperlinks>
  <pageMargins left="0.75" right="0.75" top="1" bottom="1" header="0.5" footer="0.5"/>
  <pageSetup paperSize="9" orientation="portrait" verticalDpi="144"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7"/>
  <sheetViews>
    <sheetView workbookViewId="0"/>
  </sheetViews>
  <sheetFormatPr defaultRowHeight="12.75" x14ac:dyDescent="0.2"/>
  <cols>
    <col min="1" max="1" width="19.5703125" bestFit="1" customWidth="1"/>
  </cols>
  <sheetData>
    <row r="1" spans="1:7" ht="18" x14ac:dyDescent="0.25">
      <c r="A1" s="15" t="s">
        <v>97</v>
      </c>
      <c r="D1" s="211" t="s">
        <v>270</v>
      </c>
    </row>
    <row r="2" spans="1:7" ht="18" x14ac:dyDescent="0.25">
      <c r="A2" s="15"/>
      <c r="D2" s="211"/>
    </row>
    <row r="3" spans="1:7" x14ac:dyDescent="0.2">
      <c r="A3" t="s">
        <v>263</v>
      </c>
    </row>
    <row r="4" spans="1:7" ht="15.75" x14ac:dyDescent="0.25">
      <c r="A4" s="41" t="s">
        <v>98</v>
      </c>
      <c r="D4" t="s">
        <v>99</v>
      </c>
    </row>
    <row r="6" spans="1:7" x14ac:dyDescent="0.2">
      <c r="A6" s="52">
        <v>12.21</v>
      </c>
      <c r="B6" t="s">
        <v>100</v>
      </c>
      <c r="D6">
        <v>430</v>
      </c>
      <c r="E6" t="s">
        <v>101</v>
      </c>
      <c r="F6">
        <v>100</v>
      </c>
      <c r="G6" t="s">
        <v>102</v>
      </c>
    </row>
    <row r="7" spans="1:7" x14ac:dyDescent="0.2">
      <c r="B7" t="s">
        <v>103</v>
      </c>
      <c r="C7">
        <f>1000*3600</f>
        <v>3600000</v>
      </c>
      <c r="D7" t="s">
        <v>104</v>
      </c>
    </row>
    <row r="8" spans="1:7" ht="15.75" x14ac:dyDescent="0.25">
      <c r="A8" s="42">
        <f>A6/C7*1000000</f>
        <v>3.3916666666666671</v>
      </c>
      <c r="B8" s="41" t="s">
        <v>105</v>
      </c>
    </row>
    <row r="10" spans="1:7" ht="15.75" x14ac:dyDescent="0.25">
      <c r="A10" s="41" t="s">
        <v>32</v>
      </c>
    </row>
    <row r="11" spans="1:7" x14ac:dyDescent="0.2">
      <c r="B11">
        <v>39.35</v>
      </c>
      <c r="C11" t="s">
        <v>106</v>
      </c>
    </row>
    <row r="12" spans="1:7" ht="14.25" x14ac:dyDescent="0.2">
      <c r="D12">
        <v>18</v>
      </c>
      <c r="E12" t="s">
        <v>107</v>
      </c>
      <c r="F12">
        <v>90</v>
      </c>
      <c r="G12" t="s">
        <v>102</v>
      </c>
    </row>
    <row r="13" spans="1:7" ht="15.75" x14ac:dyDescent="0.25">
      <c r="A13" s="58">
        <v>1.282</v>
      </c>
      <c r="B13" s="41" t="s">
        <v>105</v>
      </c>
    </row>
    <row r="15" spans="1:7" ht="15.75" x14ac:dyDescent="0.25">
      <c r="A15" s="41" t="s">
        <v>108</v>
      </c>
    </row>
    <row r="17" spans="1:2" ht="15.75" x14ac:dyDescent="0.25">
      <c r="A17" s="43">
        <f>CFST!B42/CFST!B16*1000</f>
        <v>0.99511872167930326</v>
      </c>
      <c r="B17" s="41" t="s">
        <v>105</v>
      </c>
    </row>
  </sheetData>
  <sheetProtection sheet="1" objects="1" scenarios="1"/>
  <phoneticPr fontId="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Instructions</vt:lpstr>
      <vt:lpstr>Calculator</vt:lpstr>
      <vt:lpstr>CFST Modified</vt:lpstr>
      <vt:lpstr>Country</vt:lpstr>
      <vt:lpstr>CFST</vt:lpstr>
      <vt:lpstr>ResponseSurfaceVSRT</vt:lpstr>
      <vt:lpstr>ResponseSurfaceTempRT</vt:lpstr>
      <vt:lpstr>Temp&amp;RT</vt:lpstr>
      <vt:lpstr>VS&amp;RT</vt:lpstr>
      <vt:lpstr>Temp&amp;VS</vt:lpstr>
      <vt:lpstr>RT&amp;Temp</vt:lpstr>
      <vt:lpstr>PlugFlow</vt:lpstr>
      <vt:lpstr>Costing (Temp &amp; RT)</vt:lpstr>
      <vt:lpstr>Energy Costs</vt:lpstr>
      <vt:lpstr>Calculator!Print_Area</vt:lpstr>
      <vt:lpstr>CFST!Print_Area</vt:lpstr>
      <vt:lpstr>'CFST Modified'!Print_Area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Leslie Harris</dc:creator>
  <cp:lastModifiedBy>Samare</cp:lastModifiedBy>
  <cp:lastPrinted>2010-03-31T01:46:48Z</cp:lastPrinted>
  <dcterms:created xsi:type="dcterms:W3CDTF">1999-04-23T06:23:02Z</dcterms:created>
  <dcterms:modified xsi:type="dcterms:W3CDTF">2016-08-08T13:21:29Z</dcterms:modified>
</cp:coreProperties>
</file>